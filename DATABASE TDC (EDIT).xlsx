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users" sheetId="2" r:id="rId6"/>
    <sheet state="visible" name="RESULT" sheetId="3" r:id="rId7"/>
  </sheets>
  <definedNames>
    <definedName hidden="1" localSheetId="2" name="_xlnm._FilterDatabase">RESULT!$E$1:$E$202</definedName>
  </definedNames>
  <calcPr/>
</workbook>
</file>

<file path=xl/sharedStrings.xml><?xml version="1.0" encoding="utf-8"?>
<sst xmlns="http://schemas.openxmlformats.org/spreadsheetml/2006/main" count="1961" uniqueCount="686">
  <si>
    <t>member_id</t>
  </si>
  <si>
    <t>id</t>
  </si>
  <si>
    <t>user_id</t>
  </si>
  <si>
    <t>name</t>
  </si>
  <si>
    <t>result_id</t>
  </si>
  <si>
    <t>email</t>
  </si>
  <si>
    <t>avatar</t>
  </si>
  <si>
    <t>event_id</t>
  </si>
  <si>
    <t>google_id</t>
  </si>
  <si>
    <t>join_date</t>
  </si>
  <si>
    <t>email_verified_at</t>
  </si>
  <si>
    <t>result_date</t>
  </si>
  <si>
    <t>skill_level</t>
  </si>
  <si>
    <t>password</t>
  </si>
  <si>
    <t>remember_token</t>
  </si>
  <si>
    <t>lifetime_points</t>
  </si>
  <si>
    <t>created_at</t>
  </si>
  <si>
    <t>status_tier</t>
  </si>
  <si>
    <t>finish</t>
  </si>
  <si>
    <t>updated_at</t>
  </si>
  <si>
    <t>total_wins</t>
  </si>
  <si>
    <t>placement_bonus</t>
  </si>
  <si>
    <t>total_losses</t>
  </si>
  <si>
    <t>win_rate</t>
  </si>
  <si>
    <t>attendance</t>
  </si>
  <si>
    <t>Hung</t>
  </si>
  <si>
    <t>phone_number</t>
  </si>
  <si>
    <t>event_points</t>
  </si>
  <si>
    <t>anandazhou09@gmail.com</t>
  </si>
  <si>
    <t>M0001</t>
  </si>
  <si>
    <t>wins</t>
  </si>
  <si>
    <t>/storage/avatars/muuM5jVCFSjl9tAEthAzEI3xI8FqErutsBcRNykl.jpg</t>
  </si>
  <si>
    <t>losses</t>
  </si>
  <si>
    <t>NULL</t>
  </si>
  <si>
    <t>diff</t>
  </si>
  <si>
    <t>$2y$12$UwdxgDZUKj.EyGXpa7VwxOvqQwvEiQ66hCiaHIny4YEDGOuuWRJ7.</t>
  </si>
  <si>
    <t>2QDepm2HQPIepb0tDMXWhPpZ2DHacPAH5kDxW85RmCqnOqoxqpJsocmdy3bp</t>
  </si>
  <si>
    <t>E0001</t>
  </si>
  <si>
    <t>BEGINNER+</t>
  </si>
  <si>
    <t>HUNG</t>
  </si>
  <si>
    <t>Vaness</t>
  </si>
  <si>
    <t>vanessafebry97@gmail.com</t>
  </si>
  <si>
    <t>https://lh3.googleusercontent.com/a/ACg8ocIT5D4bPpwPRIXtT9-AOIsxjQgH3LUcD53UHVwxDqvR8WMdcrOn=s96-c</t>
  </si>
  <si>
    <t>$2y$12$1IVqrN92IsIT2gkrKO6A0OmVvUzx8lJSsFobP6VqJVfCA.BSrI/Xe</t>
  </si>
  <si>
    <t>c8vsk3TM3tAHwJ5g4qDsRgiTdMZTN4W2JHMVzdv0ar6hgo7F74JyVsHfFV1V</t>
  </si>
  <si>
    <t>Adhyasta</t>
  </si>
  <si>
    <t>Idabagusadhya@gmail.com</t>
  </si>
  <si>
    <t>/storage/avatars/CRz36Wyrf63uIJWmbYGSE6i5kN8ZoMN532CXp5O9.jpg</t>
  </si>
  <si>
    <t>$2y$12$VbgDiDFhVzx5wGN9wAIAC.R1REbz0QITcUrTkqPOUeUUjYPMx/QrG</t>
  </si>
  <si>
    <t>fWB4ZGimBZq7VhZipoIgQHIX30MLKVFEWQoQwkieMtsOowIH83EY2PegiXHW</t>
  </si>
  <si>
    <t>NADIA</t>
  </si>
  <si>
    <t>indahnadiaswarii@gmail.com</t>
  </si>
  <si>
    <t>$2y$12$qtgP9rl/1WC.eogUJc9I5OF587lPD8GK/QE1ZFkkMm9vuVdsY/vCK</t>
  </si>
  <si>
    <t>M0002</t>
  </si>
  <si>
    <t>VANESS</t>
  </si>
  <si>
    <t>Abiseka</t>
  </si>
  <si>
    <t>abiseka33@gmail.com</t>
  </si>
  <si>
    <t>/storage/avatars/2H8VMXrvvz9nZAscwWPuoksL1gbhgtxdxl61bdNA.jpg</t>
  </si>
  <si>
    <t>$2y$12$mjBWuVa8.i9j2AOjlXl6EugTQv5chOZMlJ4bSPD7j7udTmuja2yo2</t>
  </si>
  <si>
    <t>7XkWcN3VeZzTQS3irsvpQDC7UEwad8kvDwcVnbyuKDL04U68MOIpuMc0JYq6</t>
  </si>
  <si>
    <t>CLUB</t>
  </si>
  <si>
    <t>ECAK</t>
  </si>
  <si>
    <t>M0005</t>
  </si>
  <si>
    <t>sangayuecak@gmail.com</t>
  </si>
  <si>
    <t>ABISEKA J</t>
  </si>
  <si>
    <t>https://lh3.googleusercontent.com/a/ACg8ocJigH-Jx43IIio4pF9ERVJ-skZR9EhWA4_XpRNRCYUkoGyMow=s96-c</t>
  </si>
  <si>
    <t>$2y$12$azfuPaapBIaAyD9me5AbxOWwrqvtHWdQtrqOjLo0fudKD9dCEn7Vm</t>
  </si>
  <si>
    <t>HmmhACsQdmO9GvblHxQqGeM9nEUVG9VDmpmVzKZTdt57t7Y9yc2egn9NzyEB</t>
  </si>
  <si>
    <t>ALDI</t>
  </si>
  <si>
    <t>aldi@example.com</t>
  </si>
  <si>
    <t>$2y$12$w44k/xNd6yV9NWNMkW2CreRutACJqntIvNaT6Poe5hKGdB0bPzlUq</t>
  </si>
  <si>
    <t>M0007</t>
  </si>
  <si>
    <t>IVAN T</t>
  </si>
  <si>
    <t>ivant@example.com</t>
  </si>
  <si>
    <t>$2y$12$e0l6IOUxVqBIItXmqpqjYOw0bEH25B0oUgvvrdxVg31OpxbG4AEha</t>
  </si>
  <si>
    <t>REVATA</t>
  </si>
  <si>
    <t>revatasiriananda@gmail.com</t>
  </si>
  <si>
    <t>https://lh3.googleusercontent.com/a/ACg8ocK3quvbpEbugm3-w2d0CyiPaBK1yCMmNnZmcywQRs-g1gzWWOdc=s96-c</t>
  </si>
  <si>
    <t>$2y$12$wVygRnLtqhUNjCoY37Wsa.xGeJHA3EWiMerPEfTs.AWUFFuuO1y3G</t>
  </si>
  <si>
    <t>R4Qq0hTjE3YNzSUT9YTfmq9Tp5RLZBFapmq1dKL2bh8LOgu1mKmhZCYnLuXB</t>
  </si>
  <si>
    <t>AYUDITA</t>
  </si>
  <si>
    <t>kmgayudita35@gmail.com</t>
  </si>
  <si>
    <t>M0009</t>
  </si>
  <si>
    <t>$2y$12$eeycIRskbt93mXQYGatU3uYVmYl0WYAG0VKHVtFE7WCApBY43qWpS</t>
  </si>
  <si>
    <t>NANDIYA</t>
  </si>
  <si>
    <t>nandiyakarunadh@gmail.com</t>
  </si>
  <si>
    <t>$2y$12$gMkXvOltQyfwpaM8cS65XenDHdC49K6F7oKxT7shYt0BcqbSrkcU2</t>
  </si>
  <si>
    <t>HENRY</t>
  </si>
  <si>
    <t>henry@example.com</t>
  </si>
  <si>
    <t>BEGINNER</t>
  </si>
  <si>
    <t>M0010</t>
  </si>
  <si>
    <t>$2y$12$1jXc2x8DY4RxnLIrbL.FRepC6vuQ9MRxHX2ugZPYhY2.2lwG3bNVi</t>
  </si>
  <si>
    <t>RIAN Y</t>
  </si>
  <si>
    <t>yuliawanrian@gmail.com</t>
  </si>
  <si>
    <t>$2y$12$AdOqbvuQSXbPOXASnTtfkOYx85EOasYqH0YVFyNNdh5Kb8RaOQWbS</t>
  </si>
  <si>
    <t>DIAMOND</t>
  </si>
  <si>
    <t>OKA</t>
  </si>
  <si>
    <t>M0011</t>
  </si>
  <si>
    <t>okamobi123@gmail.com</t>
  </si>
  <si>
    <t>$2y$12$naPo7ENpXICe0Lx5rDxTvur23TjrJ1qV28H6A5f/jbMC0cmyh30hG</t>
  </si>
  <si>
    <t>IWAN</t>
  </si>
  <si>
    <t>aliridwankk@gmail.com</t>
  </si>
  <si>
    <t>$2y$12$UnxuW5UvofzUOe63bZQkBuuMmuDMQKjm32eP7iAgO7snaLGNFzI0y</t>
  </si>
  <si>
    <t>BAGUS G</t>
  </si>
  <si>
    <t>gusgarlicka@gmail.com</t>
  </si>
  <si>
    <t>M0012</t>
  </si>
  <si>
    <t>$2y$12$WoAxc2QOon6uX/Bq5nsZB.5bMowoyEa8ifsGU0V2V47n5OD8ivNcy</t>
  </si>
  <si>
    <t>M0003</t>
  </si>
  <si>
    <t>YUDHA</t>
  </si>
  <si>
    <t>Yudha.arthawijaya@gmail.com</t>
  </si>
  <si>
    <t>https://lh3.googleusercontent.com/a/ACg8ocJdFdspHdWbNHVK2S9sLmZYMXzH5IokEFZKJYw_HGM2YWcnVN8O=s96-c</t>
  </si>
  <si>
    <t>E0002</t>
  </si>
  <si>
    <t>$2y$12$0XYnjVRSWK0wLj0BXGB42e3.eAUmN4WJSkH9hdWxl9vbIzKxic26W</t>
  </si>
  <si>
    <t>qqRRg6Bl6FdZRCCNAya3GpypBxhwlAj3Q6dHxyF4b85pzcCjiYFDholhptGH</t>
  </si>
  <si>
    <t>BHASKARA</t>
  </si>
  <si>
    <t>bagusbhaskara14@gmail.com</t>
  </si>
  <si>
    <t>$2y$12$IKGWHYKcFlEyyFggwSsiauXtOlOElX9NArq/6nS443yAueLbxEAOa</t>
  </si>
  <si>
    <t>GUS YANA</t>
  </si>
  <si>
    <t>wiradnyana99@gmail.com</t>
  </si>
  <si>
    <t>$2y$12$tAsUAUrfPuoGmjdm6LLVbuc/bc7pYT8rIkK5se4NUnauIwjLjciUe</t>
  </si>
  <si>
    <t>M0004</t>
  </si>
  <si>
    <t>SEKAR W</t>
  </si>
  <si>
    <t>sekar.letlora@yahoo.com</t>
  </si>
  <si>
    <t>$2y$12$f4w.Z4pkp8Nv1S3Gg1AM2ex4pGXZZdHNpnfEoMgeEDvf6Yz9ireCu</t>
  </si>
  <si>
    <t>MENTARI</t>
  </si>
  <si>
    <t>lidyamentari31@gmail.com</t>
  </si>
  <si>
    <t>M0006</t>
  </si>
  <si>
    <t>https://lh3.googleusercontent.com/a/ACg8ocKIp0OVV-cvGWsrL6Ezd6OZLjh15niYyfYMkp1rkKKTYN8Q-g7Z8A=s96-c</t>
  </si>
  <si>
    <t>$2y$12$YpGj4fuX/TEyJtFgWvw9HeFBj5hZYJ9LDlJEQ9yHWV/1efVb7lLLq</t>
  </si>
  <si>
    <t>oJineEHnEPS2ecsnBQqvosqmY1Zl3dK297vBSKLe3D0NhBlMxBDKbu8Rpyy2</t>
  </si>
  <si>
    <t>WIRA</t>
  </si>
  <si>
    <t>kadekadhiwirayudha@gmail.com</t>
  </si>
  <si>
    <t>$2y$12$HeQbAd8dew6S/1/ZX9BvkehAbe4Q8hgQgtU4geeEpjeSqKTbkmH8C</t>
  </si>
  <si>
    <t>TRISNA</t>
  </si>
  <si>
    <t>itrisnajaya@outlook.com</t>
  </si>
  <si>
    <t>$2y$12$dAtAphToYhPYRwUb9pk2We2AWO9k9d.SF9GazMMmMgpB1vcHs8sqa</t>
  </si>
  <si>
    <t>M0013</t>
  </si>
  <si>
    <t>RIRI</t>
  </si>
  <si>
    <t>triyana.recovery@gmail.com</t>
  </si>
  <si>
    <t>$2y$12$0KaSl.BVP95dQLbJ69s1qemrcniN53r2jSpiH9WWGTqrZzIgPG6UC</t>
  </si>
  <si>
    <t>OKY</t>
  </si>
  <si>
    <t>okypetter@gmail.com</t>
  </si>
  <si>
    <t>$2y$12$SwNrLUjtpNixZxalRheAL.jCVOTEwNnqXXMGr9zn.PF19.Rzdm3qC</t>
  </si>
  <si>
    <t>AFIN</t>
  </si>
  <si>
    <t>rama.tannaya@gmail.com</t>
  </si>
  <si>
    <t>https://lh3.googleusercontent.com/a/ACg8ocKJrfts45yqHIJKkf1WqWGRyqpVBlggXkCq44IjG_L_cG-RDU8sGA=s96-c</t>
  </si>
  <si>
    <t>M0014</t>
  </si>
  <si>
    <t>$2y$12$y.j6U/GvHQaxo1ha6rPI3eYsicJ/WBhO8lcPbr/eShpHXv4gGhNgG</t>
  </si>
  <si>
    <t>s6pROdBHjZJnasDsE2XUZlxrZqPtGjNY0qKKyBy63mj9UmVWLzRaYxTbxxQw</t>
  </si>
  <si>
    <t>DIANA</t>
  </si>
  <si>
    <t>diana@example.com</t>
  </si>
  <si>
    <t>$2y$12$3/mCKMHG/5TyQV8DYQrYBeAOo2DARhO0B7OojKrfPXn9lzPeq14kO</t>
  </si>
  <si>
    <t>M0015</t>
  </si>
  <si>
    <t>RAKA S</t>
  </si>
  <si>
    <t>rakaprasetya.lie@gmail.com</t>
  </si>
  <si>
    <t>https://lh3.googleusercontent.com/a/ACg8ocLlAZeJWGcuyPTS6x2riYxanFKSDeTvRZHBZZsulKGBa40zwH8=s96-c</t>
  </si>
  <si>
    <t>$2y$12$N.GPaGohCpTZSlpbHEJoleu9AVoKQJT9BOxkfdmSJna8rBSHUPrJK</t>
  </si>
  <si>
    <t>OkvqRWE0ad5abuWR9dXp9GiN1tsXwqMqHlM4sqzqv48dY9jSMrubQi9ZXxW6</t>
  </si>
  <si>
    <t>M0016</t>
  </si>
  <si>
    <t>QUIK</t>
  </si>
  <si>
    <t>dedwisaptarahadi@gmail.com</t>
  </si>
  <si>
    <t>https://lh3.googleusercontent.com/a/ACg8ocLbuB7OtTfqe-f1GBW3n6PknXZGZyxMvPcbIajzx-871c3wvh58=s96-c</t>
  </si>
  <si>
    <t>$2y$12$U81/OL9bw1ccsKyi3iRlSOsi.A3rgNTKBr4pLB87Qcb3hhKyYABSK</t>
  </si>
  <si>
    <t>dMXzxkqzseCgSzOgnQbWtJGQNdIsYYR8xZ81vPeYih0l91YF4o4bvDFz4FKw</t>
  </si>
  <si>
    <t>STEPHEN</t>
  </si>
  <si>
    <t>stephensutanto123@gmail.com</t>
  </si>
  <si>
    <t>$2y$12$msjr6JzyK5XO4ebdXc/C4uOqLMjNNXWy1ql3xNnsui5E.rPYGE9eq</t>
  </si>
  <si>
    <t>M0017</t>
  </si>
  <si>
    <t>OLIVIA</t>
  </si>
  <si>
    <t>oliviadean170@gmail.com</t>
  </si>
  <si>
    <t>https://lh3.googleusercontent.com/a/ACg8ocJfqvGxYtQn_kEnAv9rtSSdE_wDDeDMPjFA5d9v6eLLOek0ifQ=s96-c</t>
  </si>
  <si>
    <t>$2y$12$lmS3eD/fbwyofmykdFVOrudwo7GHKcjutxeLfANTirurgnFgw4dKu</t>
  </si>
  <si>
    <t>kzPr3Pinb48w9jopzxf7pfLwQiAIUOzKt01pfOztRjj2DEXgKumkUcyRkfkm</t>
  </si>
  <si>
    <t>PIBBLEBULAT</t>
  </si>
  <si>
    <t>putudiahdamayanti1406@gmail.com</t>
  </si>
  <si>
    <t>https://lh3.googleusercontent.com/a/ACg8ocJgvSkUGjLhIM38eytCRGAdSAPnM-V6sS6apJ3xOYE6C00HRvk=s96-c</t>
  </si>
  <si>
    <t>$2y$12$PhDXFCX2kzapb3aCOIwN1eBUd5HavC17Pr4HxOfqSmn04gH7LF6Ei</t>
  </si>
  <si>
    <t>rxZs2Api27srvGdQU9PycmkStyOrqdlskYUavVQAOczinPGM1dSpFJE747JL</t>
  </si>
  <si>
    <t>E0003</t>
  </si>
  <si>
    <t>WILSON</t>
  </si>
  <si>
    <t>agusnathayana@gmail.com</t>
  </si>
  <si>
    <t>https://lh3.googleusercontent.com/a/ACg8ocJyCvCrrd7zNUuoYN49dzrCPfTMCgtXWoydhjZCHpZvpHv1697r=s96-c</t>
  </si>
  <si>
    <t>$2y$12$AruR4U1mzLfceNTBHw33O.j.LUS0/dHwz.pi9I7rYLvyJmBgqBxLu</t>
  </si>
  <si>
    <t>lXp6wRrX05vg4hY5jH1f9Mis5e0XRMwGJogbNkPMF5PG9lbr7B7VUrtESHsn</t>
  </si>
  <si>
    <t>RISTYA</t>
  </si>
  <si>
    <t>ristyanara@gmail.com</t>
  </si>
  <si>
    <t>$2y$12$wv1Mihj5V7DyCudagwwX5.PP4ChJjwgScai4WoBoGkwfxlW9WYsUe</t>
  </si>
  <si>
    <t>AHRI</t>
  </si>
  <si>
    <t>ahriansyahm@gmail.com</t>
  </si>
  <si>
    <t>M0018</t>
  </si>
  <si>
    <t>$2y$12$6Fp2t5ocuBTJJpzK71aN2O.YGVt2FONg4uEVRT90Dm8f/rqxOguqy</t>
  </si>
  <si>
    <t>NAYA</t>
  </si>
  <si>
    <t>nayaka2870@gmail.com</t>
  </si>
  <si>
    <t>https://lh3.googleusercontent.com/a/ACg8ocIfupzgUCqLAKvqtEu6oM8pqBAsl8v1PpXVhmUhRnvsgiCR2VDq=s96-c</t>
  </si>
  <si>
    <t>$2y$12$Wsi/U/bL6R1raczLG6jTP.rY4FlmK7h4Z6q.pacwTabacyjE1hXKq</t>
  </si>
  <si>
    <t>By49xNc8P8ZDMHr1xanCtbsGPzI9iFOYaKaCFWsiWh1H37Ec9haIoxqZ1ADt</t>
  </si>
  <si>
    <t>M0019</t>
  </si>
  <si>
    <t>WULAN</t>
  </si>
  <si>
    <t>wulantrisnap@gmail.com</t>
  </si>
  <si>
    <t>https://lh3.googleusercontent.com/a/ACg8ocJO7MhCJ3gx4uhfuSQr7z_9s-yq32UKAveoNYYJxWNCKCykuz3g3g=s96-c</t>
  </si>
  <si>
    <t>$2y$12$NaKEPkdHBD3ET3p.d407nOAlCnQHnaepTL8EP07y2KCeW3eVakF7a</t>
  </si>
  <si>
    <t>cbtp5F34euf1vQYTrCZI6DnEzlWDrZp58cTVC6i7l2g8jrUteILn1zHJ6iYY</t>
  </si>
  <si>
    <t>M0008</t>
  </si>
  <si>
    <t>TEGUH</t>
  </si>
  <si>
    <t>ftk2704@gmail.com</t>
  </si>
  <si>
    <t>https://lh3.googleusercontent.com/a/ACg8ocK_IP4glYYuZsJiy1AzkYQ3EdUq2NjqEt6KikqGE01Cejyz8A=s96-c</t>
  </si>
  <si>
    <t>M0020</t>
  </si>
  <si>
    <t>$2y$12$/JNtqV.VcDbMyiCnOeejmew6thuBmBKthAVTdhmOueQXyxQo1vJdi</t>
  </si>
  <si>
    <t>d0KRwWSbzwBFlDFnFIK48kc24CWdIP3O33h01QIWBsbuDUUgUchZkZEl3G6h</t>
  </si>
  <si>
    <t>UCIK</t>
  </si>
  <si>
    <t>kanjengyuichiro@gmail.com</t>
  </si>
  <si>
    <t>$2y$12$TnaRjZcHEXybpf/NkiEpRuKQMD5bfZRgkUd/FkFOOyjn1VhhwuM7W</t>
  </si>
  <si>
    <t>ADHYASTA</t>
  </si>
  <si>
    <t>DAIVA</t>
  </si>
  <si>
    <t>daivagunawan14@gmail.com</t>
  </si>
  <si>
    <t>https://lh3.googleusercontent.com/a/ACg8ocLr0kEGEn9GPz5_ZYEiCs2-yYv2tVS6ymQEdHsMCoeUFO3tEH0=s96-c</t>
  </si>
  <si>
    <t>$2y$12$5DV1IoDPDo.zMP2VivQkSeKkZBImE9zuAn76Wfa7ncUIFYqSo8ueO</t>
  </si>
  <si>
    <t>ctZv5riIAlWGW3UYZpTMmnxkScRZgbqZr2LtsyvLYnLuhy4JV0tTNqM6wUVQ</t>
  </si>
  <si>
    <t>OKA (W)</t>
  </si>
  <si>
    <t>M0021</t>
  </si>
  <si>
    <t>okabhismaning@gmail.com</t>
  </si>
  <si>
    <t>https://lh3.googleusercontent.com/a/ACg8ocKk__90n6V0BAoS-TPAGSwywnl0VFOBwjVtzzfLNkJZIYXpF-83=s96-c</t>
  </si>
  <si>
    <t>$2y$12$UbgqmLgwpWLJpw8Q8Ro06.DOE8.EXYAXrGK7953Ejzoq/pPt6SQb.</t>
  </si>
  <si>
    <t>gSeqkAiyhpcwsSleYVHb65TcGlzITcLt9CZROJCRdobsfCTIs1MNe8re68dR</t>
  </si>
  <si>
    <t>E0004</t>
  </si>
  <si>
    <t>AFI</t>
  </si>
  <si>
    <t>afi.intan@yahoo.com</t>
  </si>
  <si>
    <t>$2y$12$9mR3Xpqdycymp6oPuPGUyOhSNjCYg3wq2E4QTFHNhWFjwSQHb4fC6</t>
  </si>
  <si>
    <t>DEVI</t>
  </si>
  <si>
    <t>paramitaokadevi@gmail.com</t>
  </si>
  <si>
    <t>$2y$12$d2bLIzJp5g5tMQzT82aThOIpDqfNNi9p9SxJSRyVCBYou9eNjvCsq</t>
  </si>
  <si>
    <t>SINTHA</t>
  </si>
  <si>
    <t>sinthaagn63@gmail.com</t>
  </si>
  <si>
    <t>$2y$12$tPRFzOPpA4tPlukWLYZ13.rvKb1m8q/kRke78CPk2.yqHY/tLcg/S</t>
  </si>
  <si>
    <t>BARA</t>
  </si>
  <si>
    <t>bara@example.com</t>
  </si>
  <si>
    <t>$2y$12$bJHpuZddGq.FSPQewkF.c.0ho7oiWOo/v275knViTuynNgWVS2UTC</t>
  </si>
  <si>
    <t>RIZAL</t>
  </si>
  <si>
    <t>rizal@example.com</t>
  </si>
  <si>
    <t>$2y$12$CNiwL/OQ/N5QygIbAKjz5uZkHeRE1xB69TM/VDCMEwkCJPFZJ/a6K</t>
  </si>
  <si>
    <t>TDC ADMIND</t>
  </si>
  <si>
    <t>setiawan18221@gmail.com</t>
  </si>
  <si>
    <t>/storage/avatars/NKGjwPMwca9pe60AN6oMAlPWPsg5qMzg9VeAUWQR.jpg</t>
  </si>
  <si>
    <t>$2y$12$AJYPmywWsbYwyv3TDQPhN.XJqe0X7W18AtNCALaOQjwZiEZ6C9dKa</t>
  </si>
  <si>
    <t>Tl82874A2I3AgrAGtVxQSNuIzirmlFnXfmbznsf8WBmuq4Zv3nUTJF8CcSmF</t>
  </si>
  <si>
    <t>Jess</t>
  </si>
  <si>
    <t>aguskomang646@gmail.com</t>
  </si>
  <si>
    <t>/storage/avatars/MI8HIyFuKI2ewHQV0lSsXIlI7Xm864MXrCJXYDzC.jpg</t>
  </si>
  <si>
    <t>$2y$12$t4t/I0RDxsmXD8SbAWBYgeq4BexBVLogO6ysXDpzgtKiPLbz2nEXO</t>
  </si>
  <si>
    <t>6pCJNIfSdWoDVydmn1FmCu3y8cmLdJExj7FDy7qpIRDPlvTSCsTI0lYH5PQF</t>
  </si>
  <si>
    <t>M0025</t>
  </si>
  <si>
    <t>Nayaka Darmika</t>
  </si>
  <si>
    <t>L. BEGINNER</t>
  </si>
  <si>
    <t>d.nayakadarmika44.slub@gmail.com</t>
  </si>
  <si>
    <t>https://lh3.googleusercontent.com/a/ACg8ocJiLRygt6xXDNdtzxgpt7Sym1Cf3dCYwQ6_HDfZbRNLtly7_eZiOg=s96-c</t>
  </si>
  <si>
    <t>$2y$12$M4DldQEbdyLEZUXJ8opzjucABiMjvtGm5eZhRdSToqP60vPbVbLBu</t>
  </si>
  <si>
    <t>6W4M9hpYPB4AeStHdRccjn46Y7ToEq63wqqmGsCQkWDAxSZaKQNZxoBp85HS</t>
  </si>
  <si>
    <t>M0024</t>
  </si>
  <si>
    <t>SEKAR TABSKUY</t>
  </si>
  <si>
    <t>sekarletlora@gmail.com</t>
  </si>
  <si>
    <t>https://lh3.googleusercontent.com/a/ACg8ocLfvV91ww8oDzA_icgBrSNyibQMn0SE_rAXtOgyHf1JP7kEtk6h=s96-c</t>
  </si>
  <si>
    <t>$2y$12$fim11ihaEYS1/gQw9EdBueou9vBiIjX7.c7C2P5mAV47EWifgfY.S</t>
  </si>
  <si>
    <t>FIG2ZqGmjVymnqZW0TEYF0hkBQT3vo893NCejJn9DmDXDn2Wge8cpozRSFOo</t>
  </si>
  <si>
    <t>M0023</t>
  </si>
  <si>
    <t>Richard Benedic</t>
  </si>
  <si>
    <t>richardbenedic16@gmail.com</t>
  </si>
  <si>
    <t>https://lh3.googleusercontent.com/a/ACg8ocLhb444Z-KLNnGg4rWkwWQbhFARTu0VHxhStMTTculOSgsmvvXN=s96-c</t>
  </si>
  <si>
    <t>$2y$12$Sax0E5uHBtSiDh4tGfF0EuHmfjfMKZklkwgUXQAya7JML55Gw6znK</t>
  </si>
  <si>
    <t>Y7UB1I1h5KjyviLCUCoHs5LETVQddVyVOZkjL72b8Bmxz4vHDVSoZCk5sjC4</t>
  </si>
  <si>
    <t>Varien</t>
  </si>
  <si>
    <t>variensa22@gmail.com</t>
  </si>
  <si>
    <t>/storage/avatars/WmVvz1VKWKXitKI2Sp7MuQjeHB5Op6mqwsOERaT1.jpg</t>
  </si>
  <si>
    <t>M0022</t>
  </si>
  <si>
    <t>$2y$12$FKAILm9LsVJlasSNuhMZfOCHFjZtFzGT9Z0RzkpsGBP7Ufki7K85S</t>
  </si>
  <si>
    <t>EWDGog1eHIFUP2K97jjuD0qjOeOjhZCOz04z5WPfz0yPOxd0yEmt243ucqum</t>
  </si>
  <si>
    <t>Relin Tania</t>
  </si>
  <si>
    <t>relintania1@gmail.com</t>
  </si>
  <si>
    <t>https://lh3.googleusercontent.com/a/ACg8ocK6mVKjqu1MEQGpd8YGOCU4gN7Sk5Xhj2WFNA9Kg0H84jbHP1Y=s96-c</t>
  </si>
  <si>
    <t>E0005</t>
  </si>
  <si>
    <t>$2y$12$H6fIPVBjniPLcmKswa//euTcup8V1VAXCa9zJh2F88rttcOHAB9UW</t>
  </si>
  <si>
    <t>2PurGhNAqcddaEp9qShYg0GXfhZjTGHgHFED30tkMf3vtaSdCBxVRQcRknI3</t>
  </si>
  <si>
    <t>Fernaldi</t>
  </si>
  <si>
    <t>fernaldi.shb@gmail.com</t>
  </si>
  <si>
    <t>/storage/avatars/v1CPVIIeqSmXZbSiGZVyQcQBCQDIWUJZNadg8Yup.jpg</t>
  </si>
  <si>
    <t>$2y$12$Shw5tCtPa7InwtbAeFx3guDFDTFvxMGP66CsAvpKEMNaiB.tLq6Ey</t>
  </si>
  <si>
    <t>jl4FowZDQuzl3L0jBxdPoZaYKaHIK2sZxHsxS7uHHh3A7ZwzFiesTVK3bKJy</t>
  </si>
  <si>
    <t>DEVA NUGRAHA</t>
  </si>
  <si>
    <t>devanugraha.photoworks@gmail.com</t>
  </si>
  <si>
    <t>/storage/avatars/ZzeQekz4iwm7O4eDRn815xOeRNWNwByWd9i61GUJ.jpg</t>
  </si>
  <si>
    <t>$2y$12$ntkWEub/pAKxOGHzEEbTy.n/1kPK/5nQozLRGKI3WPChyejAhfXje</t>
  </si>
  <si>
    <t>AtYKc1apTcNw4AL0H1sJApGgMcA0l0pb49VgqhilKTi9THZ64Kw6f5xUTPBL</t>
  </si>
  <si>
    <t>Andrian</t>
  </si>
  <si>
    <t>andrian.wijaya2001@gmail.com</t>
  </si>
  <si>
    <t>https://lh3.googleusercontent.com/a/ACg8ocLFxPkFvp9Wbb-9VEVvKsc5qX-2J6LKiePIfOQWJ2orl0-BlPs=s96-c</t>
  </si>
  <si>
    <t>$2y$12$ZDn3uTB.A3NKLuSpk5L9UO7hTAJ76L5M9..7y7GTvj3om6aruS4lq</t>
  </si>
  <si>
    <t>ddnNTZPQpp9XIxhXhAnsBkgUEjd3mXg6NeeQSuRkl9CoBUFblilT3UEREDTg</t>
  </si>
  <si>
    <t>choni nurfa</t>
  </si>
  <si>
    <t>choninurfa@gmail.com</t>
  </si>
  <si>
    <t>https://lh3.googleusercontent.com/a/ACg8ocL9cb4lnpE0QnROBNqaBGn4EPk2HOs7MYk0tEQBFvTlvSqq2A=s96-c</t>
  </si>
  <si>
    <t>$2y$12$CY4Y8bC4KcMBYpxU37HBWuYTmzj5Rcqyblyo2p3Ps55BadEoExZnG</t>
  </si>
  <si>
    <t>Fil5z0013Lvl1pFGcCfSCNsBhfd6vfakybqtCU0uMR3oQXDq0ATsZRQvVQaq</t>
  </si>
  <si>
    <t>Joenathan Uto</t>
  </si>
  <si>
    <t>utojoenathan@gmail.com</t>
  </si>
  <si>
    <t>https://lh3.googleusercontent.com/a/ACg8ocKw60qWEzvHEiXe9_c-3ogD7UIwnNHkUhWdH4IyyeQSh4FEThk=s96-c</t>
  </si>
  <si>
    <t>M0026</t>
  </si>
  <si>
    <t>$2y$12$5iTpL2x9aZROy2OS0dsHE.LAeuMOog2/Eg2SeYqfzH.Je5ISi8X9S</t>
  </si>
  <si>
    <t>U3lz8iAoOwSw1bX6ivrTL8uZKP1rITImimPp3XX6SuvXZaIaI8JwINs5yRkZ</t>
  </si>
  <si>
    <t>B.02.Albert Gunawan</t>
  </si>
  <si>
    <t>albertgunawang@gmail.com</t>
  </si>
  <si>
    <t>https://lh3.googleusercontent.com/a/ACg8ocJSifOeglmPvljUInmEV-c2IWpPfmUR6HuN6FWjygTMYT1IcA=s96-c</t>
  </si>
  <si>
    <t>$2y$12$cU9sqcK8gfWk4AsKzk4lIeik5YhNIfw1VADR1V.ZluTOX0ydW3Zai</t>
  </si>
  <si>
    <t>yrcSL5qa53A1PxgZEAzbnDMuGOPleMZJUuskptGNU1V2bEgwF1hLSyZlTUMM</t>
  </si>
  <si>
    <t>M0027</t>
  </si>
  <si>
    <t>L. INTERMEDIATE</t>
  </si>
  <si>
    <t>Mellena H</t>
  </si>
  <si>
    <t>grand3store@gmail.com</t>
  </si>
  <si>
    <t>https://lh3.googleusercontent.com/a/ACg8ocIlu7rtHnOYB2rt2ruhHVESEW2NLwQbGwoS8PvQL1cPdvRjn_E=s96-c</t>
  </si>
  <si>
    <t>$2y$12$Fn1xAH9O1vhyiO25FX63aO9RprtyRcFbsEZM8ekMR62DGkfrQNhM.</t>
  </si>
  <si>
    <t>bsWkniThHbH83LFJshh3NzQMzEf0Rd31CexWSWRegrjjRTYiOzkznYXcqbuF</t>
  </si>
  <si>
    <t>Ngurah Adi</t>
  </si>
  <si>
    <t>M0028</t>
  </si>
  <si>
    <t>adiinugrahaa99@gmail.com</t>
  </si>
  <si>
    <t>/storage/avatars/VKNZymU8BjcKDlh5Q36sljG8ZYR63y7alq6fxyIM.jpg</t>
  </si>
  <si>
    <t>$2y$12$ajD3Syyh6oomD9Ox8wd9GelkSp3ovVOUs6BK4OLeYG6VhAGw5FJse</t>
  </si>
  <si>
    <t>5C8EsUjEeEMsrs6RhAznV1A6hPZzrs64znGO0BSRLPJ9y5qmMDJWpdpSb7vR</t>
  </si>
  <si>
    <t>Rayan Veloce</t>
  </si>
  <si>
    <t>rayanveloce@gmail.com</t>
  </si>
  <si>
    <t>https://lh3.googleusercontent.com/a/ACg8ocJ_B2E7MdwPb2HE_VzVIBeBlrB4OZrKsUqgBH_XK_jkr2XExoM=s96-c</t>
  </si>
  <si>
    <t>$2y$12$ca2wLMaJKcmqAQ8RIMlUeunhfcB68LA84pXYK0pdusdHjjkfKcPCW</t>
  </si>
  <si>
    <t>WbNlPhvtou3xJHE3wy2fIYnAeH7nuKA5r4EozNBzjglnauL0uf8tV7ruOU9R</t>
  </si>
  <si>
    <t>stephanie yesinta</t>
  </si>
  <si>
    <t>stephanieyesinta@gmail.com</t>
  </si>
  <si>
    <t>https://lh3.googleusercontent.com/a/ACg8ocJKBGz2NUUztJu_70hphwBXYwsXI03F4SRJW2Q_jNLwWSfZ1g=s96-c</t>
  </si>
  <si>
    <t>$2y$12$md6bwf5xw6EAIyRfX5/yV.mjiyBSCcixNqBv3BXBYROg6UmxCN0ha</t>
  </si>
  <si>
    <t>NyoUsdUrs2DvGodxHUkLZKr6QQA1jwDFHrChTxdMjaRWLgMtf6jT16ou61eq</t>
  </si>
  <si>
    <t>Nadja Seinda Hafizhah</t>
  </si>
  <si>
    <t>nadjashafizhah@gmail.com</t>
  </si>
  <si>
    <t>https://lh3.googleusercontent.com/a/ACg8ocIuGVoCzzeFNNYX_xklW1vCuG2oGkw_nlKjMMcg2RHfM4IBwx9n=s96-c</t>
  </si>
  <si>
    <t>$2y$12$jmXmGMhef8oNACMjkZmkbeVnC.OAdZQbRU7roBtqRvWC0q0WqAFKm</t>
  </si>
  <si>
    <t>9aVXbVuILJ9SMFcaw0IRadISJL6PTlavEYS8QcjwSKWRBXxyKk6QIfpFqR0u</t>
  </si>
  <si>
    <t>E0006</t>
  </si>
  <si>
    <t>Muhammad Rifky Novandi</t>
  </si>
  <si>
    <t>vandyrivan.vr@gmail.com</t>
  </si>
  <si>
    <t>https://lh3.googleusercontent.com/a/ACg8ocJCVZOBFep91B79a1FShofz9sLOAECV1CPaqdhAdE-d0l3-iAI=s96-c</t>
  </si>
  <si>
    <t>$2y$12$O0mrr3x2SETBzqtgvpKrtu7YxFw8MktgKXEAYOnFXEuK3S8YZXsK6</t>
  </si>
  <si>
    <t>te5qe1Y0oLdjgbcxnQOil1jNvJWNLVuYjlAKc35TCuesaJdEH33qi9KDmYVH</t>
  </si>
  <si>
    <t>Dvid Ryn</t>
  </si>
  <si>
    <t>dvidryn@gmail.com</t>
  </si>
  <si>
    <t>https://lh3.googleusercontent.com/a/ACg8ocJrjkyghoHY6PFbfBN5peozDtMdY-b4gxE5l0h3UcP7ggeN0g=s96-c</t>
  </si>
  <si>
    <t>M0031</t>
  </si>
  <si>
    <t>$2y$12$tUDNZgyopkQ9fcdnMseV/OhuKZZ007i60tqkuC3KvF9G2.0hO86Hq</t>
  </si>
  <si>
    <t>9NQY5Yjn3MmmLNLzsZwRJx5hmYOWP5Tnnl1wpBdc6qxms3hx9Ak45g3Jl2LW</t>
  </si>
  <si>
    <t>Enzo Jaury</t>
  </si>
  <si>
    <t>enzo.jauri@gmail.com</t>
  </si>
  <si>
    <t>https://lh3.googleusercontent.com/a/ACg8ocKiAIvY_JxnGubjk-BtBizWC0RPV3yLe3HZt2wbF0yJoN4Fhw=s96-c</t>
  </si>
  <si>
    <t>$2y$12$/fpekQSB5ydwCqxHMAvaUOHOcxzXJHI4M1DlY7.JEbY5N1yc8lKUm</t>
  </si>
  <si>
    <t>WchP3PRuKQJluKr4OUErNcjwDLy8P02NuvlDg1SCRQ9JInNOZb4KqLsbvYyZ</t>
  </si>
  <si>
    <t>M0030</t>
  </si>
  <si>
    <t>Ariyudha IB</t>
  </si>
  <si>
    <t>e.ariyudha08@gmail.com</t>
  </si>
  <si>
    <t>https://lh3.googleusercontent.com/a/ACg8ocIWKn1Fc-pW4ElHIlwOOnwF1fdeD6dEYpl3XvxsfaFDHEwvZMuf_w=s96-c</t>
  </si>
  <si>
    <t>$2y$12$suVe2kEy5lHzpIsBzRTHf.CgKFSzmUoDBhM4.un0QeLmD2FHzIUZO</t>
  </si>
  <si>
    <t>TE4nacfGbnBgSdEPprJ3EajagG50TFVVDgYm5vABtH29JZGvTOVgTyxaWxDl</t>
  </si>
  <si>
    <t>Kaon Hasegawa</t>
  </si>
  <si>
    <t>kaonhasegawa55@gmail.com</t>
  </si>
  <si>
    <t>https://lh3.googleusercontent.com/a/ACg8ocLrUN3ALOc8WaLbeDzY48hBshBIbdaK1kDrvyGvuJmVCEAWMc5T=s96-c</t>
  </si>
  <si>
    <t>M0029</t>
  </si>
  <si>
    <t>$2y$12$LNYjm33wytE6Zi30/6x0ze1GpXPgh2QBWFn6vftIEYX.ff1xohF72</t>
  </si>
  <si>
    <t>lLJqSfD0A3NXDs7JEmaTlTizChFI7vCOVng1EEG6im5Pp8ldyOjJBa7PcEuk</t>
  </si>
  <si>
    <t>IB Gede Prastawa</t>
  </si>
  <si>
    <t>ibgedeprastawa@gmail.com</t>
  </si>
  <si>
    <t>https://lh3.googleusercontent.com/a/ACg8ocKixZj8ApVmcCHB-hPiLXFc63MKgUqv6fsGgsmmWWnt1Lp4YvgV=s96-c</t>
  </si>
  <si>
    <t>$2y$12$ZwEGAR3uz65E56C3/g.qXe/pwM5N9ZBjY.NJyqN9gthuSjgQj2sCS</t>
  </si>
  <si>
    <t>N0eTvyiBgexh74BYc95FtIKZlAc6dxLnd32lwPVq7tfw7pBXo8PSTCbgYdUH</t>
  </si>
  <si>
    <t>Agung Piero</t>
  </si>
  <si>
    <t>piney29@gmail.com</t>
  </si>
  <si>
    <t>https://lh3.googleusercontent.com/a/ACg8ocLfPmJDqnaN_30J8OMnzMtIjIHZpcgqyoH_Y61zH0q7EVrWUkrJ=s96-c</t>
  </si>
  <si>
    <t>$2y$12$iBFRPNTWwtZepe0nvDgLvetnSBHV.HPwciBs2/RwfDjcRd5FRZ/cS</t>
  </si>
  <si>
    <t>fycpAY8PT1F1TAUemPAcaDz6PGCATx4IFoPx126ESuEWe4ltOaJ163CfgpUH</t>
  </si>
  <si>
    <t>Kadek Ana Dwijayanti</t>
  </si>
  <si>
    <t>ana.dwijayanti10@gmail.com</t>
  </si>
  <si>
    <t>https://lh3.googleusercontent.com/a/ACg8ocJBn29ik0noccG8-60Hoxm_3LFYbr7R1yjRSi7G0E3NIKEMgPQ=s96-c</t>
  </si>
  <si>
    <t>$2y$12$c.v8MdGgZNc0l8Env88d8.eVPktEtlZD4I/1/deNTg36uBnpiBDva</t>
  </si>
  <si>
    <t>Rxz2cxa8jJs0ataPMHS1JnzxHtTdAwHeMZGnF8ziCK2KX4Rb1azcnuvpfPQB</t>
  </si>
  <si>
    <t>E0007</t>
  </si>
  <si>
    <t>Luthfi Ikhsan</t>
  </si>
  <si>
    <t>luthfikhsans@gmail.com</t>
  </si>
  <si>
    <t>https://lh3.googleusercontent.com/a/ACg8ocI6Ws9YQHrOpXDFv2bew56Vyv6PvnlUE_0-DlIneGYjcswoYgs=s96-c</t>
  </si>
  <si>
    <t>$2y$12$4i1X5ymy5tqGywMsyULU1ODWS.vObPtRoMdZmFuGx7b56boPpcGZe</t>
  </si>
  <si>
    <t>z8LjUa0ZTlk7qIpFWn1whaAxScGew2MBWkujEgGY6dfgA9FlIDhixTG6ks3Z</t>
  </si>
  <si>
    <t>Bagus Bharata</t>
  </si>
  <si>
    <t>ebharata12@gmail.com</t>
  </si>
  <si>
    <t>https://lh3.googleusercontent.com/a/ACg8ocKCBDCi9R4Z2AJaQ_tpvuzprnAORhH4yBjRmMmjPPcdy5f8LA=s96-c</t>
  </si>
  <si>
    <t>$2y$12$NT8c2MAm4YRSRGb1T.DVduykUCnPZtVdAuSIZxivkZooRHtmSD/vq</t>
  </si>
  <si>
    <t>g5zBekCYuHAXEiVLQIKcvgwiOPn3jER5sAXkcR1I3AI20hVjRkmNckVUua0c</t>
  </si>
  <si>
    <t>M0033</t>
  </si>
  <si>
    <t>Rezky Dewantara</t>
  </si>
  <si>
    <t>puturezkywahyu@gmail.com</t>
  </si>
  <si>
    <t>https://lh3.googleusercontent.com/a/ACg8ocIVlidZQD93lSMRO8rPBZqBv9o-ZsR85u6_ElqwPqDWqllNXyfJ=s96-c</t>
  </si>
  <si>
    <t>$2y$12$iWU5qTLdzGEllfPtlWp3n.0b2Is/8PVWOcleJD/IH16y7JrD21ueC</t>
  </si>
  <si>
    <t>IaaBOQgyfFx38GOeTPrZMDPqIUxqaLbVx1KGLxbwyvqqwb1EXJk7gz7YpkkY</t>
  </si>
  <si>
    <t>M0032</t>
  </si>
  <si>
    <t>Detha Nata Ganendra</t>
  </si>
  <si>
    <t>dethanataganendra@gmail.com</t>
  </si>
  <si>
    <t>https://lh3.googleusercontent.com/a/ACg8ocIphYvcT6xiER97PKssaJPN82jAt5MUgaCeAZijPRfw8ON_8Q=s96-c</t>
  </si>
  <si>
    <t>$2y$12$JODLRnUzuGzAP.D0S4VD1O13g5mdKwSDhMNY.Em34bsMdRzxf7ihy</t>
  </si>
  <si>
    <t>Y0Xa6sy367NvmLO4sQNfVgduFGFULiUTT0MRK7F1w6CR0z4QSDTKt5HFNggf</t>
  </si>
  <si>
    <t>Yuvan Gunawan</t>
  </si>
  <si>
    <t>ypgunawan@gmail.com</t>
  </si>
  <si>
    <t>https://lh3.googleusercontent.com/a/ACg8ocIsSxhBX09ESNlIqN4ASmCbEcpecRc0dGfBPfDtCz0pnQozIQ=s96-c</t>
  </si>
  <si>
    <t>$2y$12$FXkJpkJH9BOxoRqSEi4VpuC7QZ1h2gzBo/CGrfErnT9ui1XjgPgMi</t>
  </si>
  <si>
    <t>4cxUUBUX4qZVnQeSMmzAIkYMPUWUf47vWwaRu28B2HeXpVn3Asmoxq6qXbXf</t>
  </si>
  <si>
    <t>jason darmadi</t>
  </si>
  <si>
    <t>darmadijason@gmail.com</t>
  </si>
  <si>
    <t>https://lh3.googleusercontent.com/a/ACg8ocKi6Hc_40IKausYIGMCwaVMzU29BxCZfH1JW5T93nclrLlaEEuQ=s96-c</t>
  </si>
  <si>
    <t>$2y$12$Cpl.rlGbUCuFgAqaj67.Ee61cf4j2xEPZHNgfIdZw7XlPi3N/Ne/W</t>
  </si>
  <si>
    <t>lqPRyAUlcDAKJr7SY19BBSPQUcFB2o4m8jZVnPw7cS4tzsc3dqXxL596J4LV</t>
  </si>
  <si>
    <t>thessalonica kd</t>
  </si>
  <si>
    <t>thessakd.collectives@gmail.com</t>
  </si>
  <si>
    <t>https://lh3.googleusercontent.com/a/ACg8ocIy4gKYXCkQYZJfwJb0uBKDlzJ2c7CztK2wZjcFoquoMAWZzdWY=s96-c</t>
  </si>
  <si>
    <t>$2y$12$jU8IudH939L03ZlD2pDTtOcCz1ABtijs1E6v042cAUVrzILwjq5cu</t>
  </si>
  <si>
    <t>3v5XFKMhatglkEUB7f6IZ02b3YlfWCeCDqui0MOM5NS5dbt75Fa1vrE0yE91</t>
  </si>
  <si>
    <t>Yuvinta Riandisty</t>
  </si>
  <si>
    <t>yuvinta.r@gmail.com</t>
  </si>
  <si>
    <t>https://lh3.googleusercontent.com/a/ACg8ocIs3-Dfr1GCAC-fu4KfCCVskQJY6UkJmbH3U8A5rmT9i9lM0zhY=s96-c</t>
  </si>
  <si>
    <t>M0034</t>
  </si>
  <si>
    <t>$2y$12$TLqUbABBGrXM4wNYGu.7ku.HSBH1TUUAZNr7KOBVhSi50vGIMh6yG</t>
  </si>
  <si>
    <t>UfE6XJ3dN1NriA93PgJVVerdG5fdkEbn6yRohRe43clf6HSPMS2mjPHTiwBV</t>
  </si>
  <si>
    <t>aulia syaffitri</t>
  </si>
  <si>
    <t>auliasyaffitri5@gmail.com</t>
  </si>
  <si>
    <t>https://lh3.googleusercontent.com/a/ACg8ocLiTndxIZzxgN1vqP2OgLYRJEJ4j9nwBUDWVvcGVzvc7cWesj4I=s96-c</t>
  </si>
  <si>
    <t>E0008</t>
  </si>
  <si>
    <t>$2y$12$d4fQmBzKFL3NwOW/tBmyV.i/P1guS9u5Vp3kBxeJd6EfRpDUqlNNa</t>
  </si>
  <si>
    <t>hj253XfDSnir4ag0LIaoesm85xpaR96chp79p5ElBThsssQJZ4ozcXohwDZu</t>
  </si>
  <si>
    <t>cika reni hafida</t>
  </si>
  <si>
    <t>cikarenihafida28@gmail.com</t>
  </si>
  <si>
    <t>https://lh3.googleusercontent.com/a/ACg8ocLajUQeq3McgVST2EAQelR6fMVg--XBSrcDUapqtorHyp74xS8=s96-c</t>
  </si>
  <si>
    <t>$2y$12$9R7X3yUUt1rHPjJ8tszhfu8Rg8WmUTFqcxbJ3PA.tO/2u4jH3AtVi</t>
  </si>
  <si>
    <t>iVwHxUU3C8bvCwWyNKx9GtiTdwB9aeKhEmpof1FEwn2lbezTexSKFePplSpj</t>
  </si>
  <si>
    <t>Revin Almadani</t>
  </si>
  <si>
    <t>revinalmadani00@gmail.com</t>
  </si>
  <si>
    <t>https://lh3.googleusercontent.com/a/ACg8ocJnCNRqWDQgVVmRC-YiHVVHWtU6fU8G1oajfw6M8i-HBv8moCPV=s96-c</t>
  </si>
  <si>
    <t>$2y$12$sagzlhTxdBk.IyLNP0q0BeTn4ihwTDoGJMqpo8Cs7xNINWYKKL.WC</t>
  </si>
  <si>
    <t>huWlezL07dwsmqDUfnLC1I8zlk4x2UkAsBhEGREn6C23gH3PuPoGuXLaKFpB</t>
  </si>
  <si>
    <t>Arya Janardana</t>
  </si>
  <si>
    <t>janardanaarya@gmail.com</t>
  </si>
  <si>
    <t>https://lh3.googleusercontent.com/a/ACg8ocJCNyJ6Ta8QWFVxMColnFCL8kUtaWcphbrCNhnHG88e4MCIlUJz=s96-c</t>
  </si>
  <si>
    <t>$2y$12$5UhBXLWjBpSa5qmUOQx1s.c1TDYKBPEBFgK59BL2UXjATppZvAt2G</t>
  </si>
  <si>
    <t>lZ9K8jXAR3cRl1EqpMoAQZ81irgYcjY2vQTjWTndEdhHFi7HFG34ccgjUYU7</t>
  </si>
  <si>
    <t>Ayu Widyastuti</t>
  </si>
  <si>
    <t>ayuwidyastuti17@gmail.com</t>
  </si>
  <si>
    <t>https://lh3.googleusercontent.com/a/ACg8ocIlfUlkOxNchuyfTI5iXpIzZTXSk-XVFHe0HwWQtfwhEJpMjAGM=s96-c</t>
  </si>
  <si>
    <t>$2y$12$mqCFds3Ti8LrFORQY/Vax.MNLZE8Kd9x/vW9ha5ONehdua/kwFLWq</t>
  </si>
  <si>
    <t>Lt2P2cG8Ncwh7cs4X5RcprdpvXS6AJSXERrwKVRgYKBmwGzyNlOEWqv4YKiS</t>
  </si>
  <si>
    <t>raffael henrycus</t>
  </si>
  <si>
    <t>henrycusraffael@gmail.com</t>
  </si>
  <si>
    <t>M0038</t>
  </si>
  <si>
    <t>https://lh3.googleusercontent.com/a/ACg8ocL-H3v0onu8b3potfYyXxkIm4tqjsMwRZgWZX4rl5Cb-7r7Zg=s96-c</t>
  </si>
  <si>
    <t>$2y$12$/RUhyq.bOLq.QXqH6eD3SeDxupJfblWDOV7Bt/RZGoHxESvPBwvF6</t>
  </si>
  <si>
    <t>fPFVaNRPsJ7oTvtPe64luXeKRbBuPxgLtkmTF3ewOmQQ2juh57P7PnAioCpG</t>
  </si>
  <si>
    <t>Shan Andrea Madu</t>
  </si>
  <si>
    <t>shanandreamadu64@gmail.com</t>
  </si>
  <si>
    <t>https://lh3.googleusercontent.com/a/ACg8ocIQq8knRs56Zo9yNo-xgLUC8FaSCuowWtuex0Vco9ChwQlcN_bF=s96-c</t>
  </si>
  <si>
    <t>$2y$12$dGhVLW3NXIcBjcaeZVJbZev..yC50jXvB5jI0K15GpCkn3K.Dk6CO</t>
  </si>
  <si>
    <t>7yX36c9rI7S0joQ7SBn04y3nppGzXbqyei4wamYekuqLXvA39T6qR1TOxY45</t>
  </si>
  <si>
    <t>M0037</t>
  </si>
  <si>
    <t>Muhammad Habbib Rayhan</t>
  </si>
  <si>
    <t>habibrayhan820@gmail.com</t>
  </si>
  <si>
    <t>https://lh3.googleusercontent.com/a/ACg8ocKIbqC7wWgYKNm67m8eKq2xG2E6x7tM4tjzNoDT2gpYUOZdvN84=s96-c</t>
  </si>
  <si>
    <t>$2y$12$/ezEedQApeYAYLq4og3Uw.mODs1JtsTQO3vaDyh.LIV8Q1Y3kZ7bq</t>
  </si>
  <si>
    <t>hlMUJEEMFJLsk7qsDUexo7t36YDvdEAxeoV0szDzTIcIQFOIffUk2S5IAMdG</t>
  </si>
  <si>
    <t>Risa P.</t>
  </si>
  <si>
    <t>viantririsaputri@gmail.com</t>
  </si>
  <si>
    <t>https://lh3.googleusercontent.com/a/ACg8ocK-gUe7dHWN4z76Ap0f0aCpNPeC-k4Y86x7bBO6OPkp9FC_3w=s96-c</t>
  </si>
  <si>
    <t>M0036</t>
  </si>
  <si>
    <t>$2y$12$olsV8r/s618tEte4Xf3zruKJXoQFz1GjKQdT6RbRAZEUUljk6P7uC</t>
  </si>
  <si>
    <t>FON1PDmCgO2SRKLu8GKAZTCTHHs39rcf8mS1QHenrmTmPoR4eUa3dmuhyXsb</t>
  </si>
  <si>
    <t>Nofella</t>
  </si>
  <si>
    <t>nofellananda@gmail.com</t>
  </si>
  <si>
    <t>/storage/avatars/eeZEx75suirvDGnUpuSKNQRJ9ItNLjfoWMzXoetu.jpg</t>
  </si>
  <si>
    <t>$2y$12$liyrNBDzgiGacpxu68sSqenizOPBvh5rVJgfD0eaIj7y75UxZMbEy</t>
  </si>
  <si>
    <t>wQNgLZDWTIyIuftPP9v7oAImm3TC9aCESsjYOSx7hSWiU5a9ZKxcYd9bYHjf</t>
  </si>
  <si>
    <t>M0035</t>
  </si>
  <si>
    <t>Kenzy Kusmulyadi</t>
  </si>
  <si>
    <t>kenzydk17@gmail.com</t>
  </si>
  <si>
    <t>https://lh3.googleusercontent.com/a/ACg8ocJKvP_8quCurIXz8Y8BDPjxKYR-FTqCXzJyyFOLgQCDtO_7VA=s96-c</t>
  </si>
  <si>
    <t>$2y$12$JnYACt.81lQw26g2F/O3YO5GEQiSN8SnUXfZ.QZjlxXMynisPqg1u</t>
  </si>
  <si>
    <t>1tvNNZrT5f052YzFormM8pkCXdDRO6pTKoLPvHREd5wvRLIepdD7qXXpxV41</t>
  </si>
  <si>
    <t>Michellie Danara</t>
  </si>
  <si>
    <t>michellie.danara@gmail.com</t>
  </si>
  <si>
    <t>https://lh3.googleusercontent.com/a/ACg8ocLIuVn4LTJ7pm6SEMyXti8oyAS6RBak93MgJCj3bfFxwY_vtg=s96-c</t>
  </si>
  <si>
    <t>$2y$12$WuAz5nYqvbVioY5iJz2iCesXhc7EGiriC1e4z7ewlQc8G9/x0CP66</t>
  </si>
  <si>
    <t>Q7tRwfcF4EZHO2tgZe7RkeIj0JNDbxGIhMj9WkAzrJ3zT0iFSugL7MsOW26O</t>
  </si>
  <si>
    <t>Muhammad Ghiffari Eka Wiguna</t>
  </si>
  <si>
    <t>ekaghiffari@gmail.com</t>
  </si>
  <si>
    <t>https://lh3.googleusercontent.com/a/ACg8ocJKkLAGvaf4XS-46WNYbGfg-WVOfLFPWE47dKtL3sYukalnOx1Z=s96-c</t>
  </si>
  <si>
    <t>$2y$12$erjj7HXTqYdNh/XRF1Iqruj482NmfF6O348hJnxYwp1Rmpryj3yP.</t>
  </si>
  <si>
    <t>FNWMlkCPVpo1sIMjnj8DKMfmB3eeoqQx84MBCiUtp8DIDHwwk3Jza6axpHRz</t>
  </si>
  <si>
    <t>Chandra D Pakpahan</t>
  </si>
  <si>
    <t>dcpakpahan@gmail.com</t>
  </si>
  <si>
    <t>E0009</t>
  </si>
  <si>
    <t>https://lh3.googleusercontent.com/a/ACg8ocLRxf0H9tcsheqrzFWXyAl50n1wjiEKTcpjXgbCS6Uzr1XO-Vo=s96-c</t>
  </si>
  <si>
    <t>$2y$12$5er5y.HpR6f8QWTsvaQVZO7p0j//6PIdWjdxEQFniWZ9U5dsOUm7K</t>
  </si>
  <si>
    <t>M0039</t>
  </si>
  <si>
    <t>m49RKAX8ot0fh6Rs63kwi2tMya7Ab5A4YmhMMvYVLCsN2IYQ2aqmO5sVSbq5</t>
  </si>
  <si>
    <t>Revata Sa</t>
  </si>
  <si>
    <t>revatasss1@gmail.com</t>
  </si>
  <si>
    <t>https://lh3.googleusercontent.com/a/ACg8ocJreb9EUIpqgZ_zqVBFbWVBNZzfJCJfsGnt13MiB-a8bA06qh_i=s96-c</t>
  </si>
  <si>
    <t>$2y$12$qj9TzvuiAulUqgvlfFS3PuQwurA9EGYdExHUeNtfFA8wQaOZG1R4e</t>
  </si>
  <si>
    <t>1FeUaoOWPAahaXILZLcl6w8OKuMOx6VjzKOoTyfo4qAStVAAgTKsUF4XD6km</t>
  </si>
  <si>
    <t>Thomas Suryanata</t>
  </si>
  <si>
    <t>thomassuryanata@gmail.com</t>
  </si>
  <si>
    <t>https://lh3.googleusercontent.com/a/ACg8ocL2pi9ZAvlYgcD-QpNjhCl9HIine1-LAelNIw2x9EvuOq9EMJf2=s96-c</t>
  </si>
  <si>
    <t>$2y$12$RMq3wEbz3uhJH93mrRCjFORelKjcNGxuQ7e6gY8h1vinFQbWbQpvG</t>
  </si>
  <si>
    <t>711lLUxLWedQaKeYwU8j0jhBW1B3iSMMTtusom8AVrbEi6DaCRxDkrHmYVdg</t>
  </si>
  <si>
    <t>tentangracun</t>
  </si>
  <si>
    <t>antara.wisnu46@gmail.com</t>
  </si>
  <si>
    <t>https://lh3.googleusercontent.com/a/ACg8ocK3NgPaBwYNEUeOHfdLksPNGzZw5uuqsrAiTjehdeVRCb7JwThd=s96-c</t>
  </si>
  <si>
    <t>$2y$12$8NWmd87hj1SiECOUyOOYWOivmTvO6mqg/agzJtkfOkdv4olWNE0Zq</t>
  </si>
  <si>
    <t>I0VmDSmUFXgThC5cepojLJciw4eH74osBeNL8Gvn3w3V80Bz6VOCU1MmxGP8</t>
  </si>
  <si>
    <t>Syf</t>
  </si>
  <si>
    <t>fasyifa17@gmail.com</t>
  </si>
  <si>
    <t>https://lh3.googleusercontent.com/a/ACg8ocIvsvW7GlMjLVehtJtDxfYbrButuiYymTP6n5Qn69gcwQPSIdIf=s96-c</t>
  </si>
  <si>
    <t>$2y$12$kEBfkZYqYHsw4TDI2oE8weOixEWzlQd4uwhz4iJvZHzBU1nWTaWv.</t>
  </si>
  <si>
    <t>873fbYkOFlExVYIsCcAgcWB4iz0g1uCwsOTK8wbFJauPNoEPBnMKue3bdHrG</t>
  </si>
  <si>
    <t>Nabs</t>
  </si>
  <si>
    <t>pbelanabilaa@gmail.com</t>
  </si>
  <si>
    <t>/storage/avatars/nvy8neq9j8GomQ4GFWdt6bmRlzHEipyBvVdyDG10.jpg</t>
  </si>
  <si>
    <t>E0010</t>
  </si>
  <si>
    <t>$2y$12$vHJnJBJBgTOugeD5tDbw6.m7r8bAwfOhMgRlpP.4mHE0mBAiSoSaC</t>
  </si>
  <si>
    <t>4SyHTGJeTWsBoPb0zvKEZW7aRKx4LhIPuJVhlqqyxeDg9HxgtdMTls7XbYcD</t>
  </si>
  <si>
    <t>Nesya Kerin Anggafita</t>
  </si>
  <si>
    <t>nesya.anggafita@greenschool.org</t>
  </si>
  <si>
    <t>https://lh3.googleusercontent.com/a/ACg8ocLD0SFwwus7uWXMEScuNlX6_njqdBttGN4zS3R8k6TkVPHyMFrr=s96-c</t>
  </si>
  <si>
    <t>$2y$12$LeD2LYZakchw10Svo8xTcOiWJNGIsA0DrP4qF.P.kYFGVYIJJydbO</t>
  </si>
  <si>
    <t>fWzzXzek7dxc5YtgCUe4q2UYpb84h13hI8xT5heuJPwbgsGbS5QHouPMFZkq</t>
  </si>
  <si>
    <t>Fahmi</t>
  </si>
  <si>
    <t>aplikasifahmi23@gmail.com</t>
  </si>
  <si>
    <t>/storage/avatars/Jd5aQTfTamMQkbrdOeeZmnLrTTG525MmRZNHUQzV.jpg</t>
  </si>
  <si>
    <t>$2y$12$4yvWI3Z9t.tE2H3LGWBmwuZx5D0OCEiUjCRsvLZJ8QEekiXLGWHYW</t>
  </si>
  <si>
    <t>PcDR3FPgTAg5Npr5c4oARGErCNh7cIdxZQFC8mIKMKFYEILLTyfRoOZkLXpI</t>
  </si>
  <si>
    <t>Jack Go</t>
  </si>
  <si>
    <t>jackgojackgo10@gmail.com</t>
  </si>
  <si>
    <t>https://lh3.googleusercontent.com/a/ACg8ocKBLTdz5GUkRMUuHHra5VOplwHF5kt4r8DNuohDiSEyoes1dg=s96-c</t>
  </si>
  <si>
    <t>$2y$12$FbiMbUlIxsFpC./aUpmkGu9pa/Vdp8Fgw5p8IBfBx6mIUtTY0mq.u</t>
  </si>
  <si>
    <t>acmI1nGCUROmYML2PhVdnv7BEHj6n2cYOOr7ylRXweAKIs9Sn311PMmNS6LD</t>
  </si>
  <si>
    <t>Revo Society</t>
  </si>
  <si>
    <t>revosociety@gmail.com</t>
  </si>
  <si>
    <t>https://lh3.googleusercontent.com/a/ACg8ocLVvuJWfE5HONCv5A0z4qTHPVlxAvnTIm-RWzCLrr6EIHzj7E0=s96-c</t>
  </si>
  <si>
    <t>$2y$12$JsbizBZqh6Sl8IxGW7vbx.tt5d91lOFGzRVGJ8/Ec2H4Mo5eaorti</t>
  </si>
  <si>
    <t>29KY4hp4tVWjLm0TcFWb7dFmDQzpH021NTu3AUz8gUMrKjNC5QWYbZyZr0eI</t>
  </si>
  <si>
    <t>Hita Adi</t>
  </si>
  <si>
    <t>hitaadi@gmail.com</t>
  </si>
  <si>
    <t>https://lh3.googleusercontent.com/a/ACg8ocKrbhX727UovtetNGma4k9O8QLp9nNUS0DELD7wnIa6ZM7c9qE=s96-c</t>
  </si>
  <si>
    <t>$2y$12$JZxc/Y2H7.hzi4TllXm62.5wCg7B.eJ4L/pyWENqqLY0i74da2qgi</t>
  </si>
  <si>
    <t>dpvIkJrQPHSKOkdjgkkiTGxPOxvH8ZF5ET0HeEjgFekgDyM0UrOM19MTerE3</t>
  </si>
  <si>
    <t>Surya Pradipta</t>
  </si>
  <si>
    <t>suryaprad19@gmail.com</t>
  </si>
  <si>
    <t>https://lh3.googleusercontent.com/a/ACg8ocLeRE4gS4qavBr38hfhvpu70QWUouaOnJMhF-wDp3-nuUIH_Q93=s96-c</t>
  </si>
  <si>
    <t>$2y$12$CuhTUC8RdTObcLiyZVb/s..w0tZFtFeUoSlBX1x49JdVEHSgyWp72</t>
  </si>
  <si>
    <t>ADsmAJvG3896uWijNXFiFMSRq1rqFFYAcW0FLlNCABOWaq8XZjvIP5IFocPQ</t>
  </si>
  <si>
    <t>M0041</t>
  </si>
  <si>
    <t>M0040</t>
  </si>
  <si>
    <t>E0011</t>
  </si>
  <si>
    <t>M0042</t>
  </si>
  <si>
    <t>M0043</t>
  </si>
  <si>
    <t>M0044</t>
  </si>
  <si>
    <t>E0012</t>
  </si>
  <si>
    <t>E0013</t>
  </si>
  <si>
    <t>M0045</t>
  </si>
  <si>
    <t>M0046</t>
  </si>
  <si>
    <t>E0014</t>
  </si>
  <si>
    <t>M0047</t>
  </si>
  <si>
    <t>ELSYE</t>
  </si>
  <si>
    <t>E0015</t>
  </si>
  <si>
    <t>M0048</t>
  </si>
  <si>
    <t>RICAT</t>
  </si>
  <si>
    <t>M0049</t>
  </si>
  <si>
    <t>VARIEN</t>
  </si>
  <si>
    <t>M0050</t>
  </si>
  <si>
    <t>RELIN</t>
  </si>
  <si>
    <t>E0016</t>
  </si>
  <si>
    <t>M0051</t>
  </si>
  <si>
    <t>ANDRIAN</t>
  </si>
  <si>
    <t>M0052</t>
  </si>
  <si>
    <t>DEVA</t>
  </si>
  <si>
    <t>E0017</t>
  </si>
  <si>
    <t>M0122</t>
  </si>
  <si>
    <t>E0018</t>
  </si>
  <si>
    <t>M0054</t>
  </si>
  <si>
    <t>ARI YUDHA</t>
  </si>
  <si>
    <t>M0131</t>
  </si>
  <si>
    <t>GUSDE</t>
  </si>
  <si>
    <t>M0056</t>
  </si>
  <si>
    <t>KAON H</t>
  </si>
  <si>
    <t>E0019</t>
  </si>
  <si>
    <t>M0057</t>
  </si>
  <si>
    <t>ANA DWI</t>
  </si>
  <si>
    <t>E0020</t>
  </si>
  <si>
    <t>M0058</t>
  </si>
  <si>
    <t>ALBERT</t>
  </si>
  <si>
    <t>M0053</t>
  </si>
  <si>
    <t>ADI NUGRAHA</t>
  </si>
  <si>
    <t>E0021</t>
  </si>
  <si>
    <t>M0059</t>
  </si>
  <si>
    <t>Jason</t>
  </si>
  <si>
    <t>M0060</t>
  </si>
  <si>
    <t>Detha</t>
  </si>
  <si>
    <t>M0055</t>
  </si>
  <si>
    <t>M0061</t>
  </si>
  <si>
    <t>Vinta</t>
  </si>
  <si>
    <t>M0062</t>
  </si>
  <si>
    <t>Yuvan</t>
  </si>
  <si>
    <t>E0022</t>
  </si>
  <si>
    <t>M0063</t>
  </si>
  <si>
    <t>REVIN</t>
  </si>
  <si>
    <t>M0064</t>
  </si>
  <si>
    <t>ARYA</t>
  </si>
  <si>
    <t>M0065</t>
  </si>
  <si>
    <t>CIKA</t>
  </si>
  <si>
    <t>M0087</t>
  </si>
  <si>
    <t>YUWI</t>
  </si>
  <si>
    <t>M0067</t>
  </si>
  <si>
    <t>THESSA</t>
  </si>
  <si>
    <t>E0023</t>
  </si>
  <si>
    <t>ANDRE</t>
  </si>
  <si>
    <t>M0069</t>
  </si>
  <si>
    <t>E0024</t>
  </si>
  <si>
    <t>M0070</t>
  </si>
  <si>
    <t>Kenzy</t>
  </si>
  <si>
    <t>M0071</t>
  </si>
  <si>
    <t>Michellie</t>
  </si>
  <si>
    <t>M0072</t>
  </si>
  <si>
    <t>Habib</t>
  </si>
  <si>
    <t>M0073</t>
  </si>
  <si>
    <t>M0074</t>
  </si>
  <si>
    <t>Risa</t>
  </si>
  <si>
    <t>E0025</t>
  </si>
  <si>
    <t>M0075</t>
  </si>
  <si>
    <t>Ghifari</t>
  </si>
  <si>
    <t>M0076</t>
  </si>
  <si>
    <t>Thomas</t>
  </si>
  <si>
    <t>M0066</t>
  </si>
  <si>
    <t>M0068</t>
  </si>
  <si>
    <t>M0077</t>
  </si>
  <si>
    <t>Dicky Chandra</t>
  </si>
  <si>
    <t>E0026</t>
  </si>
  <si>
    <t>M0098</t>
  </si>
  <si>
    <t>Muz</t>
  </si>
  <si>
    <t>M0099</t>
  </si>
  <si>
    <t>Bela (Nabila Savitri)</t>
  </si>
  <si>
    <t>M0100</t>
  </si>
  <si>
    <t>M0101</t>
  </si>
  <si>
    <t>Aplikasi Fahmi</t>
  </si>
  <si>
    <t>E0044</t>
  </si>
  <si>
    <t>M0136</t>
  </si>
  <si>
    <t>M0137</t>
  </si>
  <si>
    <t>E0045</t>
  </si>
  <si>
    <t>M0081</t>
  </si>
  <si>
    <t>M0138</t>
  </si>
  <si>
    <t>M0085</t>
  </si>
  <si>
    <t>E0048</t>
  </si>
  <si>
    <t>M0110</t>
  </si>
  <si>
    <t>M0095</t>
  </si>
  <si>
    <t>M0097</t>
  </si>
  <si>
    <t>M0102</t>
  </si>
  <si>
    <t>M0103</t>
  </si>
  <si>
    <t>M0106</t>
  </si>
  <si>
    <t>M0111</t>
  </si>
  <si>
    <t>M0112</t>
  </si>
  <si>
    <t>Elsye Kanalomi</t>
  </si>
  <si>
    <t>elsyekanalomi1998@gmail.com</t>
  </si>
  <si>
    <t>M0113</t>
  </si>
  <si>
    <t>M0115</t>
  </si>
  <si>
    <t>M0118</t>
  </si>
  <si>
    <t>M0119</t>
  </si>
  <si>
    <t>M0121</t>
  </si>
  <si>
    <t>M0123</t>
  </si>
  <si>
    <t>M0124</t>
  </si>
  <si>
    <t>M0125</t>
  </si>
  <si>
    <t>M0126</t>
  </si>
  <si>
    <t>M0127</t>
  </si>
  <si>
    <t>M0128</t>
  </si>
  <si>
    <t>M0132</t>
  </si>
  <si>
    <t>M0134</t>
  </si>
  <si>
    <t>M0135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</si>
</sst>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shrinkToFit="0" vertical="bottom" wrapText="0"/>
    </xf>
    <xf borderId="0" fillId="0" fontId="2" numFmtId="22" xfId="0" applyAlignment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21.29"/>
    <col customWidth="1" min="4" max="4" width="13.0"/>
    <col customWidth="1" min="5" max="5" width="17.86"/>
    <col customWidth="1" min="6" max="6" width="10.86"/>
    <col customWidth="1" min="7" max="7" width="11.14"/>
    <col customWidth="1" min="8" max="8" width="12.0"/>
    <col customWidth="1" min="9" max="11" width="8.0"/>
    <col customWidth="1" min="12" max="12" width="11.86"/>
    <col customWidth="1" min="13" max="26" width="8.0"/>
  </cols>
  <sheetData>
    <row r="1">
      <c r="A1" s="1" t="s">
        <v>0</v>
      </c>
      <c r="B1" s="1" t="s">
        <v>2</v>
      </c>
      <c r="C1" s="1" t="s">
        <v>3</v>
      </c>
      <c r="D1" s="1" t="s">
        <v>9</v>
      </c>
      <c r="E1" s="1" t="s">
        <v>12</v>
      </c>
      <c r="F1" s="1" t="s">
        <v>5</v>
      </c>
      <c r="G1" s="1" t="s">
        <v>15</v>
      </c>
      <c r="H1" s="1" t="s">
        <v>17</v>
      </c>
      <c r="I1" s="1" t="s">
        <v>20</v>
      </c>
      <c r="J1" s="1" t="s">
        <v>22</v>
      </c>
      <c r="K1" s="1" t="s">
        <v>23</v>
      </c>
      <c r="L1" s="1" t="s">
        <v>26</v>
      </c>
    </row>
    <row r="2">
      <c r="A2" s="1" t="s">
        <v>29</v>
      </c>
      <c r="B2" s="1">
        <v>1.0</v>
      </c>
      <c r="C2" s="1" t="s">
        <v>25</v>
      </c>
      <c r="D2" s="2">
        <v>46174.0</v>
      </c>
      <c r="E2" s="1" t="s">
        <v>38</v>
      </c>
      <c r="F2" s="1" t="s">
        <v>28</v>
      </c>
      <c r="G2" s="1">
        <f>IF($A$2&lt;&gt;"",SUMIF(RESULT!D:D,members!$A$2,RESULT!I:I),"")</f>
        <v>432</v>
      </c>
      <c r="H2" s="1" t="s">
        <v>60</v>
      </c>
      <c r="I2" s="1">
        <f>IF($A2&lt;&gt;"",SUMIF(RESULT!D:D,members!$A2,RESULT!J:J),"")</f>
        <v>79</v>
      </c>
      <c r="J2" s="1">
        <f>IF($A2&lt;&gt;"",SUMIF(RESULT!D:D,members!$A2,RESULT!K:K),"")</f>
        <v>40</v>
      </c>
      <c r="K2" s="5">
        <f t="shared" ref="K2:K8" si="1">I2/(I2+J2)*100</f>
        <v>66.38655462</v>
      </c>
      <c r="L2" s="1">
        <v>6.285190094868E12</v>
      </c>
    </row>
    <row r="3">
      <c r="A3" s="1" t="s">
        <v>53</v>
      </c>
      <c r="B3" s="1">
        <v>2.0</v>
      </c>
      <c r="C3" s="1" t="s">
        <v>40</v>
      </c>
      <c r="D3" s="2">
        <v>46174.0</v>
      </c>
      <c r="E3" s="1" t="s">
        <v>89</v>
      </c>
      <c r="F3" s="1" t="s">
        <v>41</v>
      </c>
      <c r="G3" s="1">
        <f>IF(A3&lt;&gt;"",SUMIF(RESULT!D:D,members!A3,RESULT!I:I),"")</f>
        <v>145</v>
      </c>
      <c r="H3" s="1" t="s">
        <v>95</v>
      </c>
      <c r="I3" s="1">
        <f>IF($A3&lt;&gt;"",SUMIF(RESULT!D:D,members!$A3,RESULT!J:J),"")</f>
        <v>19</v>
      </c>
      <c r="J3" s="1">
        <f>IF($A3&lt;&gt;"",SUMIF(RESULT!D:D,members!$A3,RESULT!K:K),"")</f>
        <v>59</v>
      </c>
      <c r="K3" s="5">
        <f t="shared" si="1"/>
        <v>24.35897436</v>
      </c>
      <c r="L3" s="1">
        <v>6.282220502003E12</v>
      </c>
    </row>
    <row r="4">
      <c r="A4" s="1" t="s">
        <v>107</v>
      </c>
      <c r="B4" s="1">
        <v>3.0</v>
      </c>
      <c r="C4" s="1" t="s">
        <v>45</v>
      </c>
      <c r="D4" s="2">
        <v>46174.0</v>
      </c>
      <c r="E4" s="1" t="s">
        <v>89</v>
      </c>
      <c r="F4" s="1" t="s">
        <v>46</v>
      </c>
      <c r="G4" s="1">
        <f>IF(A4&lt;&gt;"",SUMIF(RESULT!D:D,members!A4,RESULT!I:I),"")</f>
        <v>135</v>
      </c>
      <c r="H4" s="1" t="s">
        <v>95</v>
      </c>
      <c r="I4" s="1">
        <f>IF($A4&lt;&gt;"",SUMIF(RESULT!D:D,members!$A4,RESULT!J:J),"")</f>
        <v>20</v>
      </c>
      <c r="J4" s="1">
        <f>IF($A4&lt;&gt;"",SUMIF(RESULT!D:D,members!$A4,RESULT!K:K),"")</f>
        <v>16</v>
      </c>
      <c r="K4" s="5">
        <f t="shared" si="1"/>
        <v>55.55555556</v>
      </c>
      <c r="L4" s="1" t="s">
        <v>33</v>
      </c>
    </row>
    <row r="5">
      <c r="A5" s="1" t="s">
        <v>120</v>
      </c>
      <c r="B5" s="1">
        <v>4.0</v>
      </c>
      <c r="C5" s="1" t="s">
        <v>50</v>
      </c>
      <c r="D5" s="2">
        <v>46174.0</v>
      </c>
      <c r="E5" s="1" t="s">
        <v>89</v>
      </c>
      <c r="F5" s="1" t="s">
        <v>51</v>
      </c>
      <c r="G5" s="1">
        <f>IF(A5&lt;&gt;"",SUMIF(RESULT!D:D,members!A5,RESULT!I:I),"")</f>
        <v>39</v>
      </c>
      <c r="H5" s="1" t="s">
        <v>95</v>
      </c>
      <c r="I5" s="1">
        <f>IF($A5&lt;&gt;"",SUMIF(RESULT!D:D,members!$A5,RESULT!J:J),"")</f>
        <v>7</v>
      </c>
      <c r="J5" s="1">
        <f>IF($A5&lt;&gt;"",SUMIF(RESULT!D:D,members!$A5,RESULT!K:K),"")</f>
        <v>14</v>
      </c>
      <c r="K5" s="5">
        <f t="shared" si="1"/>
        <v>33.33333333</v>
      </c>
      <c r="L5" s="1" t="s">
        <v>33</v>
      </c>
    </row>
    <row r="6">
      <c r="A6" s="1" t="s">
        <v>62</v>
      </c>
      <c r="B6" s="1">
        <v>5.0</v>
      </c>
      <c r="C6" s="1" t="s">
        <v>55</v>
      </c>
      <c r="D6" s="2">
        <v>46174.0</v>
      </c>
      <c r="E6" s="1" t="s">
        <v>89</v>
      </c>
      <c r="F6" s="1" t="s">
        <v>56</v>
      </c>
      <c r="G6" s="1">
        <f>IF(A6&lt;&gt;"",SUMIF(RESULT!D:D,members!A6,RESULT!I:I),"")</f>
        <v>122</v>
      </c>
      <c r="H6" s="1" t="s">
        <v>95</v>
      </c>
      <c r="I6" s="1">
        <f>IF($A6&lt;&gt;"",SUMIF(RESULT!D:D,members!$A6,RESULT!J:J),"")</f>
        <v>23</v>
      </c>
      <c r="J6" s="1">
        <f>IF($A6&lt;&gt;"",SUMIF(RESULT!D:D,members!$A6,RESULT!K:K),"")</f>
        <v>17</v>
      </c>
      <c r="K6" s="5">
        <f t="shared" si="1"/>
        <v>57.5</v>
      </c>
      <c r="L6" s="1" t="s">
        <v>33</v>
      </c>
    </row>
    <row r="7">
      <c r="A7" s="1" t="s">
        <v>126</v>
      </c>
      <c r="B7" s="1">
        <v>6.0</v>
      </c>
      <c r="C7" s="1" t="s">
        <v>61</v>
      </c>
      <c r="D7" s="2">
        <v>46174.0</v>
      </c>
      <c r="E7" s="1" t="s">
        <v>89</v>
      </c>
      <c r="F7" s="1" t="s">
        <v>63</v>
      </c>
      <c r="G7" s="1">
        <f>IF(A7&lt;&gt;"",SUMIF(RESULT!D:D,members!A7,RESULT!I:I),"")</f>
        <v>71</v>
      </c>
      <c r="H7" s="1" t="s">
        <v>95</v>
      </c>
      <c r="I7" s="1">
        <f>IF($A7&lt;&gt;"",SUMIF(RESULT!D:D,members!$A7,RESULT!J:J),"")</f>
        <v>9</v>
      </c>
      <c r="J7" s="1">
        <f>IF($A7&lt;&gt;"",SUMIF(RESULT!D:D,members!$A7,RESULT!K:K),"")</f>
        <v>24</v>
      </c>
      <c r="K7" s="5">
        <f t="shared" si="1"/>
        <v>27.27272727</v>
      </c>
      <c r="L7" s="1" t="s">
        <v>33</v>
      </c>
    </row>
    <row r="8">
      <c r="A8" s="6" t="s">
        <v>71</v>
      </c>
      <c r="B8" s="1">
        <v>7.0</v>
      </c>
      <c r="C8" s="6" t="s">
        <v>68</v>
      </c>
      <c r="D8" s="2">
        <v>46174.0</v>
      </c>
      <c r="E8" s="6" t="s">
        <v>38</v>
      </c>
      <c r="F8" s="6" t="s">
        <v>33</v>
      </c>
      <c r="G8" s="6">
        <f>IF(A8&lt;&gt;"",SUMIF(RESULT!D:D,members!A8,RESULT!I:I),"")</f>
        <v>80</v>
      </c>
      <c r="H8" s="6" t="s">
        <v>95</v>
      </c>
      <c r="I8" s="6">
        <f>IF($A8&lt;&gt;"",SUMIF(RESULT!D:D,members!$A8,RESULT!J:J),"")</f>
        <v>17</v>
      </c>
      <c r="J8" s="6">
        <f>IF($A8&lt;&gt;"",SUMIF(RESULT!D:D,members!$A8,RESULT!K:K),"")</f>
        <v>12</v>
      </c>
      <c r="K8" s="5">
        <f t="shared" si="1"/>
        <v>58.62068966</v>
      </c>
      <c r="L8" s="6" t="s">
        <v>33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" t="s">
        <v>202</v>
      </c>
      <c r="B9" s="1">
        <v>8.0</v>
      </c>
      <c r="C9" s="1" t="s">
        <v>72</v>
      </c>
      <c r="D9" s="2">
        <v>46174.0</v>
      </c>
      <c r="E9" s="1" t="s">
        <v>38</v>
      </c>
      <c r="F9" s="1" t="s">
        <v>33</v>
      </c>
      <c r="G9" s="1">
        <f>IF(A9&lt;&gt;"",SUMIF(RESULT!D:D,members!A9,RESULT!I:I),"")</f>
        <v>0</v>
      </c>
      <c r="H9" s="1" t="s">
        <v>95</v>
      </c>
      <c r="I9" s="1">
        <f>IF($A9&lt;&gt;"",SUMIF(RESULT!D:D,members!$A9,RESULT!J:J),"")</f>
        <v>0</v>
      </c>
      <c r="J9" s="1">
        <f>IF($A9&lt;&gt;"",SUMIF(RESULT!D:D,members!$A9,RESULT!K:K),"")</f>
        <v>0</v>
      </c>
      <c r="K9" s="5">
        <v>0.0</v>
      </c>
      <c r="L9" s="1" t="s">
        <v>33</v>
      </c>
    </row>
    <row r="10">
      <c r="A10" s="1" t="s">
        <v>82</v>
      </c>
      <c r="B10" s="1">
        <v>9.0</v>
      </c>
      <c r="C10" s="1" t="s">
        <v>75</v>
      </c>
      <c r="D10" s="2">
        <v>46174.0</v>
      </c>
      <c r="E10" s="1" t="s">
        <v>38</v>
      </c>
      <c r="F10" s="1" t="s">
        <v>76</v>
      </c>
      <c r="G10" s="1">
        <f>IF(A10&lt;&gt;"",SUMIF(RESULT!D:D,members!A10,RESULT!I:I),"")</f>
        <v>199</v>
      </c>
      <c r="H10" s="1" t="s">
        <v>95</v>
      </c>
      <c r="I10" s="1">
        <f>IF($A10&lt;&gt;"",SUMIF(RESULT!D:D,members!$A10,RESULT!J:J),"")</f>
        <v>33</v>
      </c>
      <c r="J10" s="1">
        <f>IF($A10&lt;&gt;"",SUMIF(RESULT!D:D,members!$A10,RESULT!K:K),"")</f>
        <v>17</v>
      </c>
      <c r="K10" s="5">
        <f t="shared" ref="K10:K78" si="2">I10/(I10+J10)*100</f>
        <v>66</v>
      </c>
      <c r="L10" s="1" t="s">
        <v>33</v>
      </c>
    </row>
    <row r="11">
      <c r="A11" s="1" t="s">
        <v>90</v>
      </c>
      <c r="B11" s="1">
        <v>10.0</v>
      </c>
      <c r="C11" s="1" t="s">
        <v>80</v>
      </c>
      <c r="D11" s="2">
        <v>46174.0</v>
      </c>
      <c r="E11" s="1" t="s">
        <v>38</v>
      </c>
      <c r="F11" s="1" t="s">
        <v>81</v>
      </c>
      <c r="G11" s="1">
        <f>IF(A11&lt;&gt;"",SUMIF(RESULT!D:D,members!A11,RESULT!I:I),"")</f>
        <v>16</v>
      </c>
      <c r="H11" s="1" t="s">
        <v>95</v>
      </c>
      <c r="I11" s="1">
        <f>IF($A11&lt;&gt;"",SUMIF(RESULT!D:D,members!$A11,RESULT!J:J),"")</f>
        <v>3</v>
      </c>
      <c r="J11" s="1">
        <f>IF($A11&lt;&gt;"",SUMIF(RESULT!D:D,members!$A11,RESULT!K:K),"")</f>
        <v>4</v>
      </c>
      <c r="K11" s="5">
        <f t="shared" si="2"/>
        <v>42.85714286</v>
      </c>
      <c r="L11" s="1" t="s">
        <v>33</v>
      </c>
    </row>
    <row r="12">
      <c r="A12" s="1" t="s">
        <v>97</v>
      </c>
      <c r="B12" s="1">
        <v>11.0</v>
      </c>
      <c r="C12" s="1" t="s">
        <v>84</v>
      </c>
      <c r="D12" s="2">
        <v>46174.0</v>
      </c>
      <c r="E12" s="1" t="s">
        <v>252</v>
      </c>
      <c r="F12" s="1" t="s">
        <v>85</v>
      </c>
      <c r="G12" s="1">
        <f>IF(A12&lt;&gt;"",SUMIF(RESULT!D:D,members!A12,RESULT!I:I),"")</f>
        <v>23</v>
      </c>
      <c r="H12" s="1" t="s">
        <v>95</v>
      </c>
      <c r="I12" s="1">
        <f>IF($A12&lt;&gt;"",SUMIF(RESULT!D:D,members!$A12,RESULT!J:J),"")</f>
        <v>3</v>
      </c>
      <c r="J12" s="1">
        <f>IF($A12&lt;&gt;"",SUMIF(RESULT!D:D,members!$A12,RESULT!K:K),"")</f>
        <v>11</v>
      </c>
      <c r="K12" s="5">
        <f t="shared" si="2"/>
        <v>21.42857143</v>
      </c>
      <c r="L12" s="1" t="s">
        <v>33</v>
      </c>
    </row>
    <row r="13">
      <c r="A13" s="1" t="s">
        <v>105</v>
      </c>
      <c r="B13" s="1">
        <v>12.0</v>
      </c>
      <c r="C13" s="1" t="s">
        <v>87</v>
      </c>
      <c r="D13" s="2">
        <v>46174.0</v>
      </c>
      <c r="E13" s="1" t="s">
        <v>252</v>
      </c>
      <c r="F13" s="1" t="s">
        <v>33</v>
      </c>
      <c r="G13" s="1">
        <f>IF(A13&lt;&gt;"",SUMIF(RESULT!D:D,members!A13,RESULT!I:I),"")</f>
        <v>11</v>
      </c>
      <c r="H13" s="1" t="s">
        <v>95</v>
      </c>
      <c r="I13" s="1">
        <f>IF($A13&lt;&gt;"",SUMIF(RESULT!D:D,members!$A13,RESULT!J:J),"")</f>
        <v>1</v>
      </c>
      <c r="J13" s="1">
        <f>IF($A13&lt;&gt;"",SUMIF(RESULT!D:D,members!$A13,RESULT!K:K),"")</f>
        <v>6</v>
      </c>
      <c r="K13" s="5">
        <f t="shared" si="2"/>
        <v>14.28571429</v>
      </c>
      <c r="L13" s="1" t="s">
        <v>33</v>
      </c>
    </row>
    <row r="14">
      <c r="A14" s="1" t="s">
        <v>136</v>
      </c>
      <c r="B14" s="1">
        <v>13.0</v>
      </c>
      <c r="C14" s="1" t="s">
        <v>92</v>
      </c>
      <c r="D14" s="2">
        <v>46197.0</v>
      </c>
      <c r="E14" s="1" t="s">
        <v>38</v>
      </c>
      <c r="F14" s="1" t="s">
        <v>93</v>
      </c>
      <c r="G14" s="1">
        <f>IF(A14&lt;&gt;"",SUMIF(RESULT!D:D,members!A14,RESULT!I:I),"")</f>
        <v>92</v>
      </c>
      <c r="H14" s="1" t="s">
        <v>95</v>
      </c>
      <c r="I14" s="1">
        <f>IF($A14&lt;&gt;"",SUMIF(RESULT!D:D,members!$A14,RESULT!J:J),"")</f>
        <v>17</v>
      </c>
      <c r="J14" s="1">
        <f>IF($A14&lt;&gt;"",SUMIF(RESULT!D:D,members!$A14,RESULT!K:K),"")</f>
        <v>4</v>
      </c>
      <c r="K14" s="5">
        <f t="shared" si="2"/>
        <v>80.95238095</v>
      </c>
      <c r="L14" s="1" t="s">
        <v>33</v>
      </c>
    </row>
    <row r="15">
      <c r="A15" s="1" t="s">
        <v>146</v>
      </c>
      <c r="B15" s="1">
        <v>14.0</v>
      </c>
      <c r="C15" s="1" t="s">
        <v>96</v>
      </c>
      <c r="D15" s="2">
        <v>46197.0</v>
      </c>
      <c r="E15" s="1" t="s">
        <v>313</v>
      </c>
      <c r="F15" s="1" t="s">
        <v>98</v>
      </c>
      <c r="G15" s="1">
        <f>IF(A15&lt;&gt;"",SUMIF(RESULT!D:D,members!A15,RESULT!I:I),"")</f>
        <v>42</v>
      </c>
      <c r="H15" s="1" t="s">
        <v>95</v>
      </c>
      <c r="I15" s="1">
        <f>IF($A15&lt;&gt;"",SUMIF(RESULT!D:D,members!$A15,RESULT!J:J),"")</f>
        <v>9</v>
      </c>
      <c r="J15" s="1">
        <f>IF($A15&lt;&gt;"",SUMIF(RESULT!D:D,members!$A15,RESULT!K:K),"")</f>
        <v>5</v>
      </c>
      <c r="K15" s="5">
        <f t="shared" si="2"/>
        <v>64.28571429</v>
      </c>
      <c r="L15" s="1" t="s">
        <v>33</v>
      </c>
    </row>
    <row r="16">
      <c r="A16" s="1" t="s">
        <v>152</v>
      </c>
      <c r="B16" s="1">
        <v>15.0</v>
      </c>
      <c r="C16" s="1" t="s">
        <v>100</v>
      </c>
      <c r="D16" s="2">
        <v>46197.0</v>
      </c>
      <c r="E16" s="1" t="s">
        <v>89</v>
      </c>
      <c r="F16" s="1" t="s">
        <v>101</v>
      </c>
      <c r="G16" s="1">
        <f>IF(A16&lt;&gt;"",SUMIF(RESULT!D:D,members!A16,RESULT!I:I),"")</f>
        <v>22</v>
      </c>
      <c r="H16" s="1" t="s">
        <v>95</v>
      </c>
      <c r="I16" s="1">
        <f>IF($A16&lt;&gt;"",SUMIF(RESULT!D:D,members!$A16,RESULT!J:J),"")</f>
        <v>4</v>
      </c>
      <c r="J16" s="1">
        <f>IF($A16&lt;&gt;"",SUMIF(RESULT!D:D,members!$A16,RESULT!K:K),"")</f>
        <v>3</v>
      </c>
      <c r="K16" s="5">
        <f t="shared" si="2"/>
        <v>57.14285714</v>
      </c>
      <c r="L16" s="1" t="s">
        <v>33</v>
      </c>
    </row>
    <row r="17">
      <c r="A17" s="1" t="s">
        <v>158</v>
      </c>
      <c r="B17" s="1">
        <v>16.0</v>
      </c>
      <c r="C17" s="1" t="s">
        <v>103</v>
      </c>
      <c r="D17" s="2">
        <v>46197.0</v>
      </c>
      <c r="E17" s="1" t="s">
        <v>252</v>
      </c>
      <c r="F17" s="1" t="s">
        <v>104</v>
      </c>
      <c r="G17" s="1">
        <f>IF(A17&lt;&gt;"",SUMIF(RESULT!D:D,members!A17,RESULT!I:I),"")</f>
        <v>49</v>
      </c>
      <c r="H17" s="1" t="s">
        <v>95</v>
      </c>
      <c r="I17" s="1">
        <f>IF($A17&lt;&gt;"",SUMIF(RESULT!D:D,members!$A17,RESULT!J:J),"")</f>
        <v>5</v>
      </c>
      <c r="J17" s="1">
        <f>IF($A17&lt;&gt;"",SUMIF(RESULT!D:D,members!$A17,RESULT!K:K),"")</f>
        <v>21</v>
      </c>
      <c r="K17" s="5">
        <f t="shared" si="2"/>
        <v>19.23076923</v>
      </c>
      <c r="L17" s="1" t="s">
        <v>33</v>
      </c>
    </row>
    <row r="18">
      <c r="A18" s="1" t="s">
        <v>167</v>
      </c>
      <c r="B18" s="1">
        <v>17.0</v>
      </c>
      <c r="C18" s="1" t="s">
        <v>108</v>
      </c>
      <c r="D18" s="2">
        <v>46197.0</v>
      </c>
      <c r="E18" s="1" t="s">
        <v>252</v>
      </c>
      <c r="F18" s="1" t="s">
        <v>109</v>
      </c>
      <c r="G18" s="1">
        <f>IF(A18&lt;&gt;"",SUMIF(RESULT!D:D,members!A18,RESULT!I:I),"")</f>
        <v>27</v>
      </c>
      <c r="H18" s="1" t="s">
        <v>95</v>
      </c>
      <c r="I18" s="1">
        <f>IF($A18&lt;&gt;"",SUMIF(RESULT!D:D,members!$A18,RESULT!J:J),"")</f>
        <v>2</v>
      </c>
      <c r="J18" s="1">
        <f>IF($A18&lt;&gt;"",SUMIF(RESULT!D:D,members!$A18,RESULT!K:K),"")</f>
        <v>10</v>
      </c>
      <c r="K18" s="5">
        <f t="shared" si="2"/>
        <v>16.66666667</v>
      </c>
      <c r="L18" s="1" t="s">
        <v>33</v>
      </c>
    </row>
    <row r="19">
      <c r="A19" s="1" t="s">
        <v>189</v>
      </c>
      <c r="B19" s="1">
        <v>18.0</v>
      </c>
      <c r="C19" s="1" t="s">
        <v>114</v>
      </c>
      <c r="D19" s="2">
        <v>46198.0</v>
      </c>
      <c r="E19" s="1" t="s">
        <v>38</v>
      </c>
      <c r="F19" s="1" t="s">
        <v>115</v>
      </c>
      <c r="G19" s="1">
        <f>IF(A19&lt;&gt;"",SUMIF(RESULT!D:D,members!A19,RESULT!I:I),"")</f>
        <v>28</v>
      </c>
      <c r="H19" s="1" t="s">
        <v>95</v>
      </c>
      <c r="I19" s="1">
        <f>IF($A19&lt;&gt;"",SUMIF(RESULT!D:D,members!$A19,RESULT!J:J),"")</f>
        <v>4</v>
      </c>
      <c r="J19" s="1">
        <f>IF($A19&lt;&gt;"",SUMIF(RESULT!D:D,members!$A19,RESULT!K:K),"")</f>
        <v>1</v>
      </c>
      <c r="K19" s="5">
        <f t="shared" si="2"/>
        <v>80</v>
      </c>
      <c r="L19" s="1" t="s">
        <v>33</v>
      </c>
    </row>
    <row r="20">
      <c r="A20" s="1" t="s">
        <v>196</v>
      </c>
      <c r="B20" s="1">
        <v>19.0</v>
      </c>
      <c r="C20" s="1" t="s">
        <v>117</v>
      </c>
      <c r="D20" s="2">
        <v>46198.0</v>
      </c>
      <c r="E20" s="1" t="s">
        <v>38</v>
      </c>
      <c r="F20" s="1" t="s">
        <v>118</v>
      </c>
      <c r="G20" s="1">
        <f>IF(A20&lt;&gt;"",SUMIF(RESULT!D:D,members!A20,RESULT!I:I),"")</f>
        <v>50</v>
      </c>
      <c r="H20" s="1" t="s">
        <v>95</v>
      </c>
      <c r="I20" s="1">
        <f>IF($A20&lt;&gt;"",SUMIF(RESULT!D:D,members!$A20,RESULT!J:J),"")</f>
        <v>7</v>
      </c>
      <c r="J20" s="1">
        <f>IF($A20&lt;&gt;"",SUMIF(RESULT!D:D,members!$A20,RESULT!K:K),"")</f>
        <v>3</v>
      </c>
      <c r="K20" s="5">
        <f t="shared" si="2"/>
        <v>70</v>
      </c>
      <c r="L20" s="1" t="s">
        <v>33</v>
      </c>
    </row>
    <row r="21" ht="15.75" customHeight="1">
      <c r="A21" s="1" t="s">
        <v>206</v>
      </c>
      <c r="B21" s="1">
        <v>20.0</v>
      </c>
      <c r="C21" s="1" t="s">
        <v>258</v>
      </c>
      <c r="D21" s="2">
        <v>46198.0</v>
      </c>
      <c r="E21" s="1" t="s">
        <v>89</v>
      </c>
      <c r="F21" s="1" t="s">
        <v>259</v>
      </c>
      <c r="G21" s="1">
        <f>IF(A21&lt;&gt;"",SUMIF(RESULT!D:D,members!A21,RESULT!I:I),"")</f>
        <v>82</v>
      </c>
      <c r="H21" s="1" t="s">
        <v>95</v>
      </c>
      <c r="I21" s="1">
        <f>IF($A21&lt;&gt;"",SUMIF(RESULT!D:D,members!$A21,RESULT!J:J),"")</f>
        <v>9</v>
      </c>
      <c r="J21" s="1">
        <f>IF($A21&lt;&gt;"",SUMIF(RESULT!D:D,members!$A21,RESULT!K:K),"")</f>
        <v>11</v>
      </c>
      <c r="K21" s="5">
        <f t="shared" si="2"/>
        <v>45</v>
      </c>
      <c r="L21" s="1" t="s">
        <v>33</v>
      </c>
    </row>
    <row r="22" ht="15.75" customHeight="1">
      <c r="A22" s="1" t="s">
        <v>219</v>
      </c>
      <c r="B22" s="1">
        <v>21.0</v>
      </c>
      <c r="C22" s="1" t="s">
        <v>124</v>
      </c>
      <c r="D22" s="2">
        <v>46198.0</v>
      </c>
      <c r="E22" s="1" t="s">
        <v>89</v>
      </c>
      <c r="F22" s="1" t="s">
        <v>125</v>
      </c>
      <c r="G22" s="1">
        <f>IF(A22&lt;&gt;"",SUMIF(RESULT!D:D,members!A22,RESULT!I:I),"")</f>
        <v>163</v>
      </c>
      <c r="H22" s="1" t="s">
        <v>95</v>
      </c>
      <c r="I22" s="1">
        <f>IF($A22&lt;&gt;"",SUMIF(RESULT!D:D,members!$A22,RESULT!J:J),"")</f>
        <v>16</v>
      </c>
      <c r="J22" s="1">
        <f>IF($A22&lt;&gt;"",SUMIF(RESULT!D:D,members!$A22,RESULT!K:K),"")</f>
        <v>26</v>
      </c>
      <c r="K22" s="5">
        <f t="shared" si="2"/>
        <v>38.0952381</v>
      </c>
      <c r="L22" s="1" t="s">
        <v>33</v>
      </c>
    </row>
    <row r="23" ht="15.75" customHeight="1">
      <c r="A23" s="1" t="s">
        <v>272</v>
      </c>
      <c r="B23" s="1">
        <v>22.0</v>
      </c>
      <c r="C23" s="1" t="s">
        <v>130</v>
      </c>
      <c r="D23" s="2">
        <v>46201.0</v>
      </c>
      <c r="E23" s="1" t="s">
        <v>38</v>
      </c>
      <c r="F23" s="1" t="s">
        <v>131</v>
      </c>
      <c r="G23" s="1">
        <f>IF(A23&lt;&gt;"",SUMIF(RESULT!D:D,members!A23,RESULT!I:I),"")</f>
        <v>30</v>
      </c>
      <c r="H23" s="1" t="s">
        <v>95</v>
      </c>
      <c r="I23" s="1">
        <f>IF($A23&lt;&gt;"",SUMIF(RESULT!D:D,members!$A23,RESULT!J:J),"")</f>
        <v>6</v>
      </c>
      <c r="J23" s="1">
        <f>IF($A23&lt;&gt;"",SUMIF(RESULT!D:D,members!$A23,RESULT!K:K),"")</f>
        <v>8</v>
      </c>
      <c r="K23" s="5">
        <f t="shared" si="2"/>
        <v>42.85714286</v>
      </c>
      <c r="L23" s="1" t="s">
        <v>33</v>
      </c>
    </row>
    <row r="24" ht="15.75" customHeight="1">
      <c r="A24" s="1" t="s">
        <v>263</v>
      </c>
      <c r="B24" s="1">
        <v>23.0</v>
      </c>
      <c r="C24" s="1" t="s">
        <v>133</v>
      </c>
      <c r="D24" s="2">
        <v>46201.0</v>
      </c>
      <c r="E24" s="1" t="s">
        <v>89</v>
      </c>
      <c r="F24" s="1" t="s">
        <v>134</v>
      </c>
      <c r="G24" s="1">
        <f>IF(A24&lt;&gt;"",SUMIF(RESULT!D:D,members!A24,RESULT!I:I),"")</f>
        <v>14</v>
      </c>
      <c r="H24" s="1" t="s">
        <v>95</v>
      </c>
      <c r="I24" s="1">
        <f>IF($A24&lt;&gt;"",SUMIF(RESULT!D:D,members!$A24,RESULT!J:J),"")</f>
        <v>2</v>
      </c>
      <c r="J24" s="1">
        <f>IF($A24&lt;&gt;"",SUMIF(RESULT!D:D,members!$A24,RESULT!K:K),"")</f>
        <v>5</v>
      </c>
      <c r="K24" s="5">
        <f t="shared" si="2"/>
        <v>28.57142857</v>
      </c>
      <c r="L24" s="1" t="s">
        <v>33</v>
      </c>
    </row>
    <row r="25" ht="15.75" customHeight="1">
      <c r="A25" s="1" t="s">
        <v>257</v>
      </c>
      <c r="B25" s="1">
        <v>24.0</v>
      </c>
      <c r="C25" s="1" t="s">
        <v>137</v>
      </c>
      <c r="D25" s="2">
        <v>46201.0</v>
      </c>
      <c r="E25" s="1" t="s">
        <v>89</v>
      </c>
      <c r="F25" s="1" t="s">
        <v>138</v>
      </c>
      <c r="G25" s="1">
        <f>IF(A25&lt;&gt;"",SUMIF(RESULT!D:D,members!A25,RESULT!I:I),"")</f>
        <v>22</v>
      </c>
      <c r="H25" s="1" t="s">
        <v>95</v>
      </c>
      <c r="I25" s="1">
        <f>IF($A25&lt;&gt;"",SUMIF(RESULT!D:D,members!$A25,RESULT!J:J),"")</f>
        <v>4</v>
      </c>
      <c r="J25" s="1">
        <f>IF($A25&lt;&gt;"",SUMIF(RESULT!D:D,members!$A25,RESULT!K:K),"")</f>
        <v>3</v>
      </c>
      <c r="K25" s="5">
        <f t="shared" si="2"/>
        <v>57.14285714</v>
      </c>
      <c r="L25" s="1" t="s">
        <v>33</v>
      </c>
    </row>
    <row r="26" ht="15.75" customHeight="1">
      <c r="A26" s="1" t="s">
        <v>250</v>
      </c>
      <c r="B26" s="1">
        <v>25.0</v>
      </c>
      <c r="C26" s="1" t="s">
        <v>140</v>
      </c>
      <c r="D26" s="2">
        <v>46201.0</v>
      </c>
      <c r="E26" s="1" t="s">
        <v>252</v>
      </c>
      <c r="F26" s="1" t="s">
        <v>141</v>
      </c>
      <c r="G26" s="1">
        <f>IF(A26&lt;&gt;"",SUMIF(RESULT!D:D,members!A26,RESULT!I:I),"")</f>
        <v>32</v>
      </c>
      <c r="H26" s="1" t="s">
        <v>95</v>
      </c>
      <c r="I26" s="1">
        <f>IF($A26&lt;&gt;"",SUMIF(RESULT!D:D,members!$A26,RESULT!J:J),"")</f>
        <v>7</v>
      </c>
      <c r="J26" s="1">
        <f>IF($A26&lt;&gt;"",SUMIF(RESULT!D:D,members!$A26,RESULT!K:K),"")</f>
        <v>7</v>
      </c>
      <c r="K26" s="5">
        <f t="shared" si="2"/>
        <v>50</v>
      </c>
      <c r="L26" s="1" t="s">
        <v>33</v>
      </c>
    </row>
    <row r="27" ht="15.75" customHeight="1">
      <c r="A27" s="1" t="s">
        <v>304</v>
      </c>
      <c r="B27" s="1">
        <v>26.0</v>
      </c>
      <c r="C27" s="1" t="s">
        <v>143</v>
      </c>
      <c r="D27" s="2">
        <v>46203.0</v>
      </c>
      <c r="E27" s="1" t="s">
        <v>38</v>
      </c>
      <c r="F27" s="1" t="s">
        <v>144</v>
      </c>
      <c r="G27" s="1">
        <f>IF(A27&lt;&gt;"",SUMIF(RESULT!D:D,members!A27,RESULT!I:I),"")</f>
        <v>56</v>
      </c>
      <c r="H27" s="1" t="s">
        <v>95</v>
      </c>
      <c r="I27" s="1">
        <f>IF($A27&lt;&gt;"",SUMIF(RESULT!D:D,members!$A27,RESULT!J:J),"")</f>
        <v>11</v>
      </c>
      <c r="J27" s="1">
        <f>IF($A27&lt;&gt;"",SUMIF(RESULT!D:D,members!$A27,RESULT!K:K),"")</f>
        <v>10</v>
      </c>
      <c r="K27" s="5">
        <f t="shared" si="2"/>
        <v>52.38095238</v>
      </c>
      <c r="L27" s="1" t="s">
        <v>33</v>
      </c>
    </row>
    <row r="28" ht="15.75" customHeight="1">
      <c r="A28" s="1" t="s">
        <v>312</v>
      </c>
      <c r="B28" s="1">
        <v>27.0</v>
      </c>
      <c r="C28" s="1" t="s">
        <v>149</v>
      </c>
      <c r="D28" s="2">
        <v>46203.0</v>
      </c>
      <c r="E28" s="1" t="s">
        <v>38</v>
      </c>
      <c r="F28" s="1" t="s">
        <v>33</v>
      </c>
      <c r="G28" s="1">
        <f>IF(A28&lt;&gt;"",SUMIF(RESULT!D:D,members!A28,RESULT!I:I),"")</f>
        <v>16</v>
      </c>
      <c r="H28" s="1" t="s">
        <v>95</v>
      </c>
      <c r="I28" s="1">
        <f>IF($A28&lt;&gt;"",SUMIF(RESULT!D:D,members!$A28,RESULT!J:J),"")</f>
        <v>3</v>
      </c>
      <c r="J28" s="1">
        <f>IF($A28&lt;&gt;"",SUMIF(RESULT!D:D,members!$A28,RESULT!K:K),"")</f>
        <v>4</v>
      </c>
      <c r="K28" s="5">
        <f t="shared" si="2"/>
        <v>42.85714286</v>
      </c>
      <c r="L28" s="1" t="s">
        <v>33</v>
      </c>
    </row>
    <row r="29" ht="15.75" customHeight="1">
      <c r="A29" s="1" t="s">
        <v>320</v>
      </c>
      <c r="B29" s="1">
        <v>28.0</v>
      </c>
      <c r="C29" s="1" t="s">
        <v>153</v>
      </c>
      <c r="D29" s="2">
        <v>46203.0</v>
      </c>
      <c r="E29" s="1" t="s">
        <v>89</v>
      </c>
      <c r="F29" s="1" t="s">
        <v>154</v>
      </c>
      <c r="G29" s="1">
        <f>IF(A29&lt;&gt;"",SUMIF(RESULT!D:D,members!A29,RESULT!I:I),"")</f>
        <v>75</v>
      </c>
      <c r="H29" s="1" t="s">
        <v>95</v>
      </c>
      <c r="I29" s="1">
        <f>IF($A29&lt;&gt;"",SUMIF(RESULT!D:D,members!$A29,RESULT!J:J),"")</f>
        <v>11</v>
      </c>
      <c r="J29" s="1">
        <f>IF($A29&lt;&gt;"",SUMIF(RESULT!D:D,members!$A29,RESULT!K:K),"")</f>
        <v>23</v>
      </c>
      <c r="K29" s="5">
        <f t="shared" si="2"/>
        <v>32.35294118</v>
      </c>
      <c r="L29" s="1" t="s">
        <v>33</v>
      </c>
    </row>
    <row r="30" ht="15.75" customHeight="1">
      <c r="A30" s="1" t="s">
        <v>366</v>
      </c>
      <c r="B30" s="1">
        <v>29.0</v>
      </c>
      <c r="C30" s="1" t="s">
        <v>159</v>
      </c>
      <c r="D30" s="2">
        <v>46205.0</v>
      </c>
      <c r="E30" s="1" t="s">
        <v>38</v>
      </c>
      <c r="F30" s="1" t="s">
        <v>160</v>
      </c>
      <c r="G30" s="1">
        <f>IF(A30&lt;&gt;"",SUMIF(RESULT!D:D,members!A30,RESULT!I:I),"")</f>
        <v>35</v>
      </c>
      <c r="H30" s="1" t="s">
        <v>95</v>
      </c>
      <c r="I30" s="1">
        <f>IF($A30&lt;&gt;"",SUMIF(RESULT!D:D,members!$A30,RESULT!J:J),"")</f>
        <v>5</v>
      </c>
      <c r="J30" s="1">
        <f>IF($A30&lt;&gt;"",SUMIF(RESULT!D:D,members!$A30,RESULT!K:K),"")</f>
        <v>0</v>
      </c>
      <c r="K30" s="5">
        <f t="shared" si="2"/>
        <v>100</v>
      </c>
      <c r="L30" s="1" t="s">
        <v>33</v>
      </c>
    </row>
    <row r="31" ht="15.75" customHeight="1">
      <c r="A31" s="1" t="s">
        <v>357</v>
      </c>
      <c r="B31" s="1">
        <v>30.0</v>
      </c>
      <c r="C31" s="1" t="s">
        <v>164</v>
      </c>
      <c r="D31" s="2">
        <v>46205.0</v>
      </c>
      <c r="E31" s="1" t="s">
        <v>89</v>
      </c>
      <c r="F31" s="1" t="s">
        <v>165</v>
      </c>
      <c r="G31" s="1">
        <f>IF(A31&lt;&gt;"",SUMIF(RESULT!D:D,members!A31,RESULT!I:I),"")</f>
        <v>28</v>
      </c>
      <c r="H31" s="1" t="s">
        <v>95</v>
      </c>
      <c r="I31" s="1">
        <f>IF($A31&lt;&gt;"",SUMIF(RESULT!D:D,members!$A31,RESULT!J:J),"")</f>
        <v>4</v>
      </c>
      <c r="J31" s="1">
        <f>IF($A31&lt;&gt;"",SUMIF(RESULT!D:D,members!$A31,RESULT!K:K),"")</f>
        <v>1</v>
      </c>
      <c r="K31" s="5">
        <f t="shared" si="2"/>
        <v>80</v>
      </c>
      <c r="L31" s="1" t="s">
        <v>33</v>
      </c>
    </row>
    <row r="32" ht="15.75" customHeight="1">
      <c r="A32" s="1" t="s">
        <v>349</v>
      </c>
      <c r="B32" s="1">
        <v>31.0</v>
      </c>
      <c r="C32" s="1" t="s">
        <v>168</v>
      </c>
      <c r="D32" s="2">
        <v>46205.0</v>
      </c>
      <c r="E32" s="1" t="s">
        <v>89</v>
      </c>
      <c r="F32" s="1" t="s">
        <v>169</v>
      </c>
      <c r="G32" s="1">
        <f>IF(A32&lt;&gt;"",SUMIF(RESULT!D:D,members!A32,RESULT!I:I),"")</f>
        <v>46</v>
      </c>
      <c r="H32" s="1" t="s">
        <v>95</v>
      </c>
      <c r="I32" s="1">
        <f>IF($A32&lt;&gt;"",SUMIF(RESULT!D:D,members!$A32,RESULT!J:J),"")</f>
        <v>4</v>
      </c>
      <c r="J32" s="1">
        <f>IF($A32&lt;&gt;"",SUMIF(RESULT!D:D,members!$A32,RESULT!K:K),"")</f>
        <v>11</v>
      </c>
      <c r="K32" s="5">
        <f t="shared" si="2"/>
        <v>26.66666667</v>
      </c>
      <c r="L32" s="1" t="s">
        <v>33</v>
      </c>
    </row>
    <row r="33" ht="15.75" customHeight="1">
      <c r="A33" s="1" t="s">
        <v>401</v>
      </c>
      <c r="B33" s="1">
        <v>32.0</v>
      </c>
      <c r="C33" s="1" t="s">
        <v>173</v>
      </c>
      <c r="D33" s="2">
        <v>46206.0</v>
      </c>
      <c r="E33" s="1" t="s">
        <v>89</v>
      </c>
      <c r="F33" s="1" t="s">
        <v>174</v>
      </c>
      <c r="G33" s="1">
        <f>IF(A33&lt;&gt;"",SUMIF(RESULT!D:D,members!A33,RESULT!I:I),"")</f>
        <v>167</v>
      </c>
      <c r="H33" s="1" t="s">
        <v>95</v>
      </c>
      <c r="I33" s="1">
        <f>IF($A33&lt;&gt;"",SUMIF(RESULT!D:D,members!$A33,RESULT!J:J),"")</f>
        <v>28</v>
      </c>
      <c r="J33" s="1">
        <f>IF($A33&lt;&gt;"",SUMIF(RESULT!D:D,members!$A33,RESULT!K:K),"")</f>
        <v>20</v>
      </c>
      <c r="K33" s="5">
        <f t="shared" si="2"/>
        <v>58.33333333</v>
      </c>
      <c r="L33" s="1" t="s">
        <v>33</v>
      </c>
    </row>
    <row r="34" ht="15.75" customHeight="1">
      <c r="A34" s="1" t="s">
        <v>395</v>
      </c>
      <c r="B34" s="1">
        <v>33.0</v>
      </c>
      <c r="C34" s="1" t="s">
        <v>179</v>
      </c>
      <c r="D34" s="2">
        <v>46206.0</v>
      </c>
      <c r="E34" s="1" t="s">
        <v>38</v>
      </c>
      <c r="F34" s="1" t="s">
        <v>180</v>
      </c>
      <c r="G34" s="1">
        <f>IF(A34&lt;&gt;"",SUMIF(RESULT!D:D,members!A34,RESULT!I:I),"")</f>
        <v>120</v>
      </c>
      <c r="H34" s="1" t="s">
        <v>95</v>
      </c>
      <c r="I34" s="1">
        <f>IF($A34&lt;&gt;"",SUMIF(RESULT!D:D,members!$A34,RESULT!J:J),"")</f>
        <v>20</v>
      </c>
      <c r="J34" s="1">
        <f>IF($A34&lt;&gt;"",SUMIF(RESULT!D:D,members!$A34,RESULT!K:K),"")</f>
        <v>6</v>
      </c>
      <c r="K34" s="5">
        <f t="shared" si="2"/>
        <v>76.92307692</v>
      </c>
      <c r="L34" s="1" t="s">
        <v>33</v>
      </c>
    </row>
    <row r="35" ht="15.75" customHeight="1">
      <c r="A35" s="1" t="s">
        <v>425</v>
      </c>
      <c r="B35" s="1">
        <v>34.0</v>
      </c>
      <c r="C35" s="1" t="s">
        <v>184</v>
      </c>
      <c r="D35" s="2">
        <v>46206.0</v>
      </c>
      <c r="E35" s="1" t="s">
        <v>89</v>
      </c>
      <c r="F35" s="1" t="s">
        <v>185</v>
      </c>
      <c r="G35" s="1">
        <f>IF(A35&lt;&gt;"",SUMIF(RESULT!D:D,members!A35,RESULT!I:I),"")</f>
        <v>18</v>
      </c>
      <c r="H35" s="1" t="s">
        <v>95</v>
      </c>
      <c r="I35" s="1">
        <f>IF($A35&lt;&gt;"",SUMIF(RESULT!D:D,members!$A35,RESULT!J:J),"")</f>
        <v>3</v>
      </c>
      <c r="J35" s="1">
        <f>IF($A35&lt;&gt;"",SUMIF(RESULT!D:D,members!$A35,RESULT!K:K),"")</f>
        <v>4</v>
      </c>
      <c r="K35" s="5">
        <f t="shared" si="2"/>
        <v>42.85714286</v>
      </c>
      <c r="L35" s="1" t="s">
        <v>33</v>
      </c>
    </row>
    <row r="36" ht="15.75" customHeight="1">
      <c r="A36" s="1" t="s">
        <v>482</v>
      </c>
      <c r="B36" s="1">
        <v>35.0</v>
      </c>
      <c r="C36" s="1" t="s">
        <v>187</v>
      </c>
      <c r="D36" s="2">
        <v>46208.0</v>
      </c>
      <c r="E36" s="1" t="s">
        <v>38</v>
      </c>
      <c r="F36" s="1" t="s">
        <v>188</v>
      </c>
      <c r="G36" s="1">
        <f>IF(A36&lt;&gt;"",SUMIF(RESULT!D:D,members!A36,RESULT!I:I),"")</f>
        <v>28</v>
      </c>
      <c r="H36" s="1" t="s">
        <v>95</v>
      </c>
      <c r="I36" s="1">
        <f>IF($A36&lt;&gt;"",SUMIF(RESULT!D:D,members!$A36,RESULT!J:J),"")</f>
        <v>5</v>
      </c>
      <c r="J36" s="1">
        <f>IF($A36&lt;&gt;"",SUMIF(RESULT!D:D,members!$A36,RESULT!K:K),"")</f>
        <v>2</v>
      </c>
      <c r="K36" s="5">
        <f t="shared" si="2"/>
        <v>71.42857143</v>
      </c>
      <c r="L36" s="1" t="s">
        <v>33</v>
      </c>
    </row>
    <row r="37" ht="15.75" customHeight="1">
      <c r="A37" s="1" t="s">
        <v>474</v>
      </c>
      <c r="B37" s="1">
        <v>36.0</v>
      </c>
      <c r="C37" s="1" t="s">
        <v>191</v>
      </c>
      <c r="D37" s="2">
        <v>46208.0</v>
      </c>
      <c r="E37" s="1" t="s">
        <v>89</v>
      </c>
      <c r="F37" s="1" t="s">
        <v>192</v>
      </c>
      <c r="G37" s="1">
        <f>IF(A37&lt;&gt;"",SUMIF(RESULT!D:D,members!A37,RESULT!I:I),"")</f>
        <v>56</v>
      </c>
      <c r="H37" s="1" t="s">
        <v>95</v>
      </c>
      <c r="I37" s="1">
        <f>IF($A37&lt;&gt;"",SUMIF(RESULT!D:D,members!$A37,RESULT!J:J),"")</f>
        <v>8</v>
      </c>
      <c r="J37" s="1">
        <f>IF($A37&lt;&gt;"",SUMIF(RESULT!D:D,members!$A37,RESULT!K:K),"")</f>
        <v>21</v>
      </c>
      <c r="K37" s="5">
        <f t="shared" si="2"/>
        <v>27.5862069</v>
      </c>
      <c r="L37" s="1" t="s">
        <v>33</v>
      </c>
    </row>
    <row r="38" ht="15.75" customHeight="1">
      <c r="A38" s="1" t="s">
        <v>465</v>
      </c>
      <c r="B38" s="1">
        <v>37.0</v>
      </c>
      <c r="C38" s="1" t="s">
        <v>197</v>
      </c>
      <c r="D38" s="2">
        <v>46208.0</v>
      </c>
      <c r="E38" s="1" t="s">
        <v>89</v>
      </c>
      <c r="F38" s="1" t="s">
        <v>198</v>
      </c>
      <c r="G38" s="1">
        <f>IF(A38&lt;&gt;"",SUMIF(RESULT!D:D,members!A38,RESULT!I:I),"")</f>
        <v>56</v>
      </c>
      <c r="H38" s="1" t="s">
        <v>95</v>
      </c>
      <c r="I38" s="1">
        <f>IF($A38&lt;&gt;"",SUMIF(RESULT!D:D,members!$A38,RESULT!J:J),"")</f>
        <v>12</v>
      </c>
      <c r="J38" s="1">
        <f>IF($A38&lt;&gt;"",SUMIF(RESULT!D:D,members!$A38,RESULT!K:K),"")</f>
        <v>10</v>
      </c>
      <c r="K38" s="5">
        <f t="shared" si="2"/>
        <v>54.54545455</v>
      </c>
      <c r="L38" s="1" t="s">
        <v>33</v>
      </c>
    </row>
    <row r="39" ht="15.75" customHeight="1">
      <c r="A39" s="1" t="s">
        <v>456</v>
      </c>
      <c r="B39" s="1">
        <v>38.0</v>
      </c>
      <c r="C39" s="1" t="s">
        <v>203</v>
      </c>
      <c r="D39" s="2">
        <v>46208.0</v>
      </c>
      <c r="E39" s="1" t="s">
        <v>89</v>
      </c>
      <c r="F39" s="1" t="s">
        <v>204</v>
      </c>
      <c r="G39" s="1">
        <f>IF(A39&lt;&gt;"",SUMIF(RESULT!D:D,members!A39,RESULT!I:I),"")</f>
        <v>89</v>
      </c>
      <c r="H39" s="1" t="s">
        <v>95</v>
      </c>
      <c r="I39" s="1">
        <f>IF($A39&lt;&gt;"",SUMIF(RESULT!D:D,members!$A39,RESULT!J:J),"")</f>
        <v>14</v>
      </c>
      <c r="J39" s="1">
        <f>IF($A39&lt;&gt;"",SUMIF(RESULT!D:D,members!$A39,RESULT!K:K),"")</f>
        <v>21</v>
      </c>
      <c r="K39" s="5">
        <f t="shared" si="2"/>
        <v>40</v>
      </c>
      <c r="L39" s="1" t="s">
        <v>33</v>
      </c>
    </row>
    <row r="40" ht="15.75" customHeight="1">
      <c r="A40" s="1" t="s">
        <v>503</v>
      </c>
      <c r="B40" s="1">
        <v>39.0</v>
      </c>
      <c r="C40" s="1" t="s">
        <v>209</v>
      </c>
      <c r="D40" s="2">
        <v>46212.0</v>
      </c>
      <c r="E40" s="1" t="s">
        <v>38</v>
      </c>
      <c r="F40" s="1" t="s">
        <v>210</v>
      </c>
      <c r="G40" s="1">
        <f>IF(A40&lt;&gt;"",SUMIF(RESULT!D:D,members!A40,RESULT!I:I),"")</f>
        <v>35</v>
      </c>
      <c r="H40" s="1" t="s">
        <v>95</v>
      </c>
      <c r="I40" s="1">
        <f>IF($A40&lt;&gt;"",SUMIF(RESULT!D:D,members!$A40,RESULT!J:J),"")</f>
        <v>5</v>
      </c>
      <c r="J40" s="1">
        <f>IF($A40&lt;&gt;"",SUMIF(RESULT!D:D,members!$A40,RESULT!K:K),"")</f>
        <v>0</v>
      </c>
      <c r="K40" s="5">
        <f t="shared" si="2"/>
        <v>100</v>
      </c>
      <c r="L40" s="1" t="s">
        <v>33</v>
      </c>
    </row>
    <row r="41" ht="15.75" customHeight="1">
      <c r="A41" s="1" t="s">
        <v>562</v>
      </c>
      <c r="B41" s="1">
        <v>40.0</v>
      </c>
      <c r="C41" s="1" t="s">
        <v>213</v>
      </c>
      <c r="D41" s="2">
        <v>46213.0</v>
      </c>
      <c r="E41" s="1" t="s">
        <v>38</v>
      </c>
      <c r="F41" s="1" t="s">
        <v>214</v>
      </c>
      <c r="G41" s="1">
        <f>IF(A41&lt;&gt;"",SUMIF(RESULT!D:D,members!A41,RESULT!I:I),"")</f>
        <v>75</v>
      </c>
      <c r="H41" s="1" t="s">
        <v>95</v>
      </c>
      <c r="I41" s="1">
        <f>IF($A41&lt;&gt;"",SUMIF(RESULT!D:D,members!$A41,RESULT!J:J),"")</f>
        <v>18</v>
      </c>
      <c r="J41" s="1">
        <f>IF($A41&lt;&gt;"",SUMIF(RESULT!D:D,members!$A41,RESULT!K:K),"")</f>
        <v>5</v>
      </c>
      <c r="K41" s="5">
        <f t="shared" si="2"/>
        <v>78.26086957</v>
      </c>
      <c r="L41" s="1" t="s">
        <v>33</v>
      </c>
    </row>
    <row r="42" ht="15.75" customHeight="1">
      <c r="A42" s="1" t="s">
        <v>561</v>
      </c>
      <c r="B42" s="1">
        <v>41.0</v>
      </c>
      <c r="C42" s="1" t="s">
        <v>218</v>
      </c>
      <c r="D42" s="2">
        <v>46213.0</v>
      </c>
      <c r="E42" s="1" t="s">
        <v>89</v>
      </c>
      <c r="F42" s="1" t="s">
        <v>220</v>
      </c>
      <c r="G42" s="1">
        <f>IF(A42&lt;&gt;"",SUMIF(RESULT!D:D,members!A42,RESULT!I:I),"")</f>
        <v>25</v>
      </c>
      <c r="H42" s="1" t="s">
        <v>95</v>
      </c>
      <c r="I42" s="1">
        <f>IF($A42&lt;&gt;"",SUMIF(RESULT!D:D,members!$A42,RESULT!J:J),"")</f>
        <v>5</v>
      </c>
      <c r="J42" s="1">
        <f>IF($A42&lt;&gt;"",SUMIF(RESULT!D:D,members!$A42,RESULT!K:K),"")</f>
        <v>9</v>
      </c>
      <c r="K42" s="5">
        <f t="shared" si="2"/>
        <v>35.71428571</v>
      </c>
      <c r="L42" s="1" t="s">
        <v>33</v>
      </c>
    </row>
    <row r="43" ht="15.75" customHeight="1">
      <c r="A43" s="1" t="s">
        <v>564</v>
      </c>
      <c r="B43" s="1">
        <v>42.0</v>
      </c>
      <c r="C43" s="1" t="s">
        <v>225</v>
      </c>
      <c r="D43" s="2">
        <v>46214.0</v>
      </c>
      <c r="E43" s="1" t="s">
        <v>89</v>
      </c>
      <c r="F43" s="1" t="s">
        <v>226</v>
      </c>
      <c r="G43" s="1">
        <f>IF(A43&lt;&gt;"",SUMIF(RESULT!D:D,members!A43,RESULT!I:I),"")</f>
        <v>35</v>
      </c>
      <c r="H43" s="1" t="s">
        <v>95</v>
      </c>
      <c r="I43" s="1">
        <f>IF($A43&lt;&gt;"",SUMIF(RESULT!D:D,members!$A43,RESULT!J:J),"")</f>
        <v>5</v>
      </c>
      <c r="J43" s="1">
        <f>IF($A43&lt;&gt;"",SUMIF(RESULT!D:D,members!$A43,RESULT!K:K),"")</f>
        <v>2</v>
      </c>
      <c r="K43" s="5">
        <f t="shared" si="2"/>
        <v>71.42857143</v>
      </c>
      <c r="L43" s="1" t="s">
        <v>33</v>
      </c>
    </row>
    <row r="44" ht="15.75" customHeight="1">
      <c r="A44" s="1" t="s">
        <v>565</v>
      </c>
      <c r="B44" s="1">
        <v>43.0</v>
      </c>
      <c r="C44" s="1" t="s">
        <v>228</v>
      </c>
      <c r="D44" s="2">
        <v>46214.0</v>
      </c>
      <c r="E44" s="1" t="s">
        <v>89</v>
      </c>
      <c r="F44" s="1" t="s">
        <v>229</v>
      </c>
      <c r="G44" s="1">
        <f>IF(A44&lt;&gt;"",SUMIF(RESULT!D:D,members!A44,RESULT!I:I),"")</f>
        <v>22</v>
      </c>
      <c r="H44" s="1" t="s">
        <v>95</v>
      </c>
      <c r="I44" s="1">
        <f>IF($A44&lt;&gt;"",SUMIF(RESULT!D:D,members!$A44,RESULT!J:J),"")</f>
        <v>5</v>
      </c>
      <c r="J44" s="1">
        <f>IF($A44&lt;&gt;"",SUMIF(RESULT!D:D,members!$A44,RESULT!K:K),"")</f>
        <v>2</v>
      </c>
      <c r="K44" s="5">
        <f t="shared" si="2"/>
        <v>71.42857143</v>
      </c>
      <c r="L44" s="1" t="s">
        <v>33</v>
      </c>
    </row>
    <row r="45" ht="15.75" customHeight="1">
      <c r="A45" s="1" t="s">
        <v>566</v>
      </c>
      <c r="B45" s="1">
        <v>44.0</v>
      </c>
      <c r="C45" s="1" t="s">
        <v>231</v>
      </c>
      <c r="D45" s="2">
        <v>46214.0</v>
      </c>
      <c r="E45" s="1" t="s">
        <v>89</v>
      </c>
      <c r="F45" s="1" t="s">
        <v>232</v>
      </c>
      <c r="G45" s="1">
        <f>IF(A45&lt;&gt;"",SUMIF(RESULT!D:D,members!A45,RESULT!I:I),"")</f>
        <v>12</v>
      </c>
      <c r="H45" s="1" t="s">
        <v>95</v>
      </c>
      <c r="I45" s="1">
        <f>IF($A45&lt;&gt;"",SUMIF(RESULT!D:D,members!$A45,RESULT!J:J),"")</f>
        <v>1</v>
      </c>
      <c r="J45" s="1">
        <f>IF($A45&lt;&gt;"",SUMIF(RESULT!D:D,members!$A45,RESULT!K:K),"")</f>
        <v>6</v>
      </c>
      <c r="K45" s="5">
        <f t="shared" si="2"/>
        <v>14.28571429</v>
      </c>
      <c r="L45" s="1" t="s">
        <v>33</v>
      </c>
    </row>
    <row r="46" ht="15.75" customHeight="1">
      <c r="A46" s="1" t="s">
        <v>569</v>
      </c>
      <c r="B46" s="1">
        <v>45.0</v>
      </c>
      <c r="C46" s="1" t="s">
        <v>234</v>
      </c>
      <c r="D46" s="2">
        <v>46218.0</v>
      </c>
      <c r="E46" s="1" t="s">
        <v>38</v>
      </c>
      <c r="F46" s="1" t="s">
        <v>33</v>
      </c>
      <c r="G46" s="1">
        <f>IF(A46&lt;&gt;"",SUMIF(RESULT!D:D,members!A46,RESULT!I:I),"")</f>
        <v>70</v>
      </c>
      <c r="H46" s="1" t="s">
        <v>95</v>
      </c>
      <c r="I46" s="1">
        <f>IF($A46&lt;&gt;"",SUMIF(RESULT!D:D,members!$A46,RESULT!J:J),"")</f>
        <v>11</v>
      </c>
      <c r="J46" s="1">
        <f>IF($A46&lt;&gt;"",SUMIF(RESULT!D:D,members!$A46,RESULT!K:K),"")</f>
        <v>1</v>
      </c>
      <c r="K46" s="5">
        <f t="shared" si="2"/>
        <v>91.66666667</v>
      </c>
      <c r="L46" s="1" t="s">
        <v>33</v>
      </c>
    </row>
    <row r="47" ht="15.75" customHeight="1">
      <c r="A47" s="1" t="s">
        <v>570</v>
      </c>
      <c r="B47" s="1">
        <v>46.0</v>
      </c>
      <c r="C47" s="1" t="s">
        <v>237</v>
      </c>
      <c r="D47" s="2">
        <v>46218.0</v>
      </c>
      <c r="E47" s="1" t="s">
        <v>89</v>
      </c>
      <c r="F47" s="1" t="s">
        <v>33</v>
      </c>
      <c r="G47" s="1">
        <f>IF(A47&lt;&gt;"",SUMIF(RESULT!D:D,members!A47,RESULT!I:I),"")</f>
        <v>22</v>
      </c>
      <c r="H47" s="1" t="s">
        <v>95</v>
      </c>
      <c r="I47" s="1">
        <f>IF($A47&lt;&gt;"",SUMIF(RESULT!D:D,members!$A47,RESULT!J:J),"")</f>
        <v>3</v>
      </c>
      <c r="J47" s="1">
        <f>IF($A47&lt;&gt;"",SUMIF(RESULT!D:D,members!$A47,RESULT!K:K),"")</f>
        <v>2</v>
      </c>
      <c r="K47" s="5">
        <f t="shared" si="2"/>
        <v>60</v>
      </c>
      <c r="L47" s="1" t="s">
        <v>33</v>
      </c>
    </row>
    <row r="48" ht="15.75" customHeight="1">
      <c r="A48" s="7" t="s">
        <v>572</v>
      </c>
      <c r="B48" s="1">
        <v>47.0</v>
      </c>
      <c r="C48" s="7" t="s">
        <v>573</v>
      </c>
      <c r="D48" s="7" t="s">
        <v>33</v>
      </c>
      <c r="E48" s="7" t="s">
        <v>89</v>
      </c>
      <c r="F48" s="7" t="s">
        <v>33</v>
      </c>
      <c r="G48" s="7">
        <f>IF(A48&lt;&gt;"",SUMIF(RESULT!D:D,members!A48,RESULT!I:I),"")</f>
        <v>16</v>
      </c>
      <c r="H48" s="7" t="s">
        <v>95</v>
      </c>
      <c r="I48" s="7">
        <f>IF($A48&lt;&gt;"",SUMIF(RESULT!D:D,members!$A48,RESULT!J:J),"")</f>
        <v>1</v>
      </c>
      <c r="J48" s="7">
        <f>IF($A48&lt;&gt;"",SUMIF(RESULT!D:D,members!$A48,RESULT!K:K),"")</f>
        <v>4</v>
      </c>
      <c r="K48" s="8">
        <f t="shared" si="2"/>
        <v>20</v>
      </c>
      <c r="L48" s="7" t="s">
        <v>33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575</v>
      </c>
      <c r="B49" s="1">
        <v>48.0</v>
      </c>
      <c r="C49" s="7" t="s">
        <v>576</v>
      </c>
      <c r="D49" s="7" t="s">
        <v>33</v>
      </c>
      <c r="E49" s="7" t="s">
        <v>89</v>
      </c>
      <c r="F49" s="7" t="s">
        <v>33</v>
      </c>
      <c r="G49" s="7">
        <f>IF(A49&lt;&gt;"",SUMIF(RESULT!D:D,members!A49,RESULT!I:I),"")</f>
        <v>18</v>
      </c>
      <c r="H49" s="7" t="s">
        <v>95</v>
      </c>
      <c r="I49" s="7">
        <f>IF($A49&lt;&gt;"",SUMIF(RESULT!D:D,members!$A49,RESULT!J:J),"")</f>
        <v>4</v>
      </c>
      <c r="J49" s="7">
        <f>IF($A49&lt;&gt;"",SUMIF(RESULT!D:D,members!$A49,RESULT!K:K),"")</f>
        <v>3</v>
      </c>
      <c r="K49" s="8">
        <f t="shared" si="2"/>
        <v>57.14285714</v>
      </c>
      <c r="L49" s="7" t="s">
        <v>33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" t="s">
        <v>577</v>
      </c>
      <c r="B50" s="1">
        <v>49.0</v>
      </c>
      <c r="C50" s="1" t="s">
        <v>269</v>
      </c>
      <c r="D50" s="2">
        <v>46220.0</v>
      </c>
      <c r="E50" s="1" t="s">
        <v>89</v>
      </c>
      <c r="F50" s="1" t="s">
        <v>270</v>
      </c>
      <c r="G50" s="1">
        <f>IF(A50&lt;&gt;"",SUMIF(RESULT!D:D,members!A50,RESULT!I:I),"")</f>
        <v>26</v>
      </c>
      <c r="H50" s="1" t="s">
        <v>95</v>
      </c>
      <c r="I50" s="1">
        <f>IF($A50&lt;&gt;"",SUMIF(RESULT!D:D,members!$A50,RESULT!J:J),"")</f>
        <v>5</v>
      </c>
      <c r="J50" s="1">
        <f>IF($A50&lt;&gt;"",SUMIF(RESULT!D:D,members!$A50,RESULT!K:K),"")</f>
        <v>9</v>
      </c>
      <c r="K50" s="5">
        <f t="shared" si="2"/>
        <v>35.71428571</v>
      </c>
      <c r="L50" s="1" t="s">
        <v>33</v>
      </c>
    </row>
    <row r="51" ht="15.75" customHeight="1">
      <c r="A51" s="1" t="s">
        <v>579</v>
      </c>
      <c r="B51" s="1">
        <v>50.0</v>
      </c>
      <c r="C51" s="1" t="s">
        <v>275</v>
      </c>
      <c r="D51" s="2">
        <v>46220.0</v>
      </c>
      <c r="E51" s="1" t="s">
        <v>89</v>
      </c>
      <c r="F51" s="1" t="s">
        <v>276</v>
      </c>
      <c r="G51" s="1">
        <f>IF(A51&lt;&gt;"",SUMIF(RESULT!D:D,members!A51,RESULT!I:I),"")</f>
        <v>11</v>
      </c>
      <c r="H51" s="1" t="s">
        <v>95</v>
      </c>
      <c r="I51" s="1">
        <f>IF($A51&lt;&gt;"",SUMIF(RESULT!D:D,members!$A51,RESULT!J:J),"")</f>
        <v>1</v>
      </c>
      <c r="J51" s="1">
        <f>IF($A51&lt;&gt;"",SUMIF(RESULT!D:D,members!$A51,RESULT!K:K),"")</f>
        <v>6</v>
      </c>
      <c r="K51" s="5">
        <f t="shared" si="2"/>
        <v>14.28571429</v>
      </c>
      <c r="L51" s="1" t="s">
        <v>33</v>
      </c>
    </row>
    <row r="52" ht="15.75" customHeight="1">
      <c r="A52" s="1" t="s">
        <v>582</v>
      </c>
      <c r="B52" s="1">
        <v>51.0</v>
      </c>
      <c r="C52" s="1" t="s">
        <v>291</v>
      </c>
      <c r="D52" s="2">
        <v>46222.0</v>
      </c>
      <c r="E52" s="1" t="s">
        <v>38</v>
      </c>
      <c r="F52" s="1" t="s">
        <v>292</v>
      </c>
      <c r="G52" s="1">
        <f>IF(A52&lt;&gt;"",SUMIF(RESULT!D:D,members!A52,RESULT!I:I),"")</f>
        <v>35</v>
      </c>
      <c r="H52" s="1" t="s">
        <v>95</v>
      </c>
      <c r="I52" s="1">
        <f>IF($A52&lt;&gt;"",SUMIF(RESULT!D:D,members!$A52,RESULT!J:J),"")</f>
        <v>6</v>
      </c>
      <c r="J52" s="1">
        <f>IF($A52&lt;&gt;"",SUMIF(RESULT!D:D,members!$A52,RESULT!K:K),"")</f>
        <v>2</v>
      </c>
      <c r="K52" s="5">
        <f t="shared" si="2"/>
        <v>75</v>
      </c>
      <c r="L52" s="1" t="s">
        <v>33</v>
      </c>
    </row>
    <row r="53" ht="15.75" customHeight="1">
      <c r="A53" s="1" t="s">
        <v>584</v>
      </c>
      <c r="B53" s="1">
        <v>52.0</v>
      </c>
      <c r="C53" s="1" t="s">
        <v>286</v>
      </c>
      <c r="D53" s="2">
        <v>46222.0</v>
      </c>
      <c r="E53" s="1" t="s">
        <v>38</v>
      </c>
      <c r="F53" s="1" t="s">
        <v>287</v>
      </c>
      <c r="G53" s="1">
        <f>IF(A53&lt;&gt;"",SUMIF(RESULT!D:D,members!A53,RESULT!I:I),"")</f>
        <v>97</v>
      </c>
      <c r="H53" s="1" t="s">
        <v>95</v>
      </c>
      <c r="I53" s="1">
        <f>IF($A53&lt;&gt;"",SUMIF(RESULT!D:D,members!$A53,RESULT!J:J),"")</f>
        <v>18</v>
      </c>
      <c r="J53" s="1">
        <f>IF($A53&lt;&gt;"",SUMIF(RESULT!D:D,members!$A53,RESULT!K:K),"")</f>
        <v>9</v>
      </c>
      <c r="K53" s="5">
        <f t="shared" si="2"/>
        <v>66.66666667</v>
      </c>
      <c r="L53" s="1" t="s">
        <v>33</v>
      </c>
    </row>
    <row r="54" ht="15.75" customHeight="1">
      <c r="A54" s="1" t="s">
        <v>601</v>
      </c>
      <c r="B54" s="1">
        <v>53.0</v>
      </c>
      <c r="C54" s="1" t="s">
        <v>602</v>
      </c>
      <c r="D54" s="1" t="s">
        <v>33</v>
      </c>
      <c r="E54" s="1" t="s">
        <v>38</v>
      </c>
      <c r="F54" s="1" t="s">
        <v>33</v>
      </c>
      <c r="G54" s="1">
        <f>IF(A54&lt;&gt;"",SUMIF(RESULT!D:D,members!A54,RESULT!I:I),"")</f>
        <v>0</v>
      </c>
      <c r="H54" s="1" t="s">
        <v>95</v>
      </c>
      <c r="I54" s="1">
        <f>IF($A54&lt;&gt;"",SUMIF(RESULT!D:D,members!$A54,RESULT!J:J),"")</f>
        <v>0</v>
      </c>
      <c r="J54" s="1">
        <f>IF($A54&lt;&gt;"",SUMIF(RESULT!D:D,members!$A54,RESULT!K:K),"")</f>
        <v>0</v>
      </c>
      <c r="K54" s="5" t="str">
        <f t="shared" si="2"/>
        <v>#DIV/0!</v>
      </c>
      <c r="L54" s="1" t="s">
        <v>33</v>
      </c>
    </row>
    <row r="55" ht="15.75" customHeight="1">
      <c r="A55" s="1" t="s">
        <v>589</v>
      </c>
      <c r="B55" s="1">
        <v>54.0</v>
      </c>
      <c r="C55" s="1" t="s">
        <v>358</v>
      </c>
      <c r="D55" s="2">
        <v>46224.0</v>
      </c>
      <c r="E55" s="1" t="s">
        <v>38</v>
      </c>
      <c r="F55" s="1" t="s">
        <v>359</v>
      </c>
      <c r="G55" s="1">
        <f>IF(A55&lt;&gt;"",SUMIF(RESULT!D:D,members!A55,RESULT!I:I),"")</f>
        <v>70</v>
      </c>
      <c r="H55" s="1" t="s">
        <v>95</v>
      </c>
      <c r="I55" s="1">
        <f>IF($A55&lt;&gt;"",SUMIF(RESULT!D:D,members!$A55,RESULT!J:J),"")</f>
        <v>9</v>
      </c>
      <c r="J55" s="1">
        <f>IF($A55&lt;&gt;"",SUMIF(RESULT!D:D,members!$A55,RESULT!K:K),"")</f>
        <v>1</v>
      </c>
      <c r="K55" s="5">
        <f t="shared" si="2"/>
        <v>90</v>
      </c>
      <c r="L55" s="1" t="s">
        <v>33</v>
      </c>
    </row>
    <row r="56" ht="15.75" customHeight="1">
      <c r="A56" s="1" t="s">
        <v>608</v>
      </c>
      <c r="B56" s="1">
        <v>55.0</v>
      </c>
      <c r="C56" s="1" t="s">
        <v>592</v>
      </c>
      <c r="D56" s="1" t="s">
        <v>33</v>
      </c>
      <c r="E56" s="1" t="s">
        <v>38</v>
      </c>
      <c r="F56" s="1" t="s">
        <v>33</v>
      </c>
      <c r="G56" s="1">
        <f>IF(A56&lt;&gt;"",SUMIF(RESULT!D:D,members!A56,RESULT!I:I),"")</f>
        <v>0</v>
      </c>
      <c r="H56" s="1" t="s">
        <v>95</v>
      </c>
      <c r="I56" s="1">
        <f>IF($A56&lt;&gt;"",SUMIF(RESULT!D:D,members!$A56,RESULT!J:J),"")</f>
        <v>0</v>
      </c>
      <c r="J56" s="1">
        <f>IF($A56&lt;&gt;"",SUMIF(RESULT!D:D,members!$A56,RESULT!K:K),"")</f>
        <v>0</v>
      </c>
      <c r="K56" s="5" t="str">
        <f t="shared" si="2"/>
        <v>#DIV/0!</v>
      </c>
      <c r="L56" s="1" t="s">
        <v>33</v>
      </c>
    </row>
    <row r="57" ht="15.75" customHeight="1">
      <c r="A57" s="1" t="s">
        <v>593</v>
      </c>
      <c r="B57" s="1">
        <v>56.0</v>
      </c>
      <c r="C57" s="1" t="s">
        <v>363</v>
      </c>
      <c r="D57" s="2">
        <v>46224.0</v>
      </c>
      <c r="E57" s="1" t="s">
        <v>38</v>
      </c>
      <c r="F57" s="1" t="s">
        <v>364</v>
      </c>
      <c r="G57" s="1">
        <f>IF(A57&lt;&gt;"",SUMIF(RESULT!D:D,members!A57,RESULT!I:I),"")</f>
        <v>51</v>
      </c>
      <c r="H57" s="1" t="s">
        <v>95</v>
      </c>
      <c r="I57" s="1">
        <f>IF($A57&lt;&gt;"",SUMIF(RESULT!D:D,members!$A57,RESULT!J:J),"")</f>
        <v>6</v>
      </c>
      <c r="J57" s="1">
        <f>IF($A57&lt;&gt;"",SUMIF(RESULT!D:D,members!$A57,RESULT!K:K),"")</f>
        <v>7</v>
      </c>
      <c r="K57" s="5">
        <f t="shared" si="2"/>
        <v>46.15384615</v>
      </c>
      <c r="L57" s="1" t="s">
        <v>33</v>
      </c>
    </row>
    <row r="58" ht="15.75" customHeight="1">
      <c r="A58" s="1" t="s">
        <v>596</v>
      </c>
      <c r="B58" s="1">
        <v>57.0</v>
      </c>
      <c r="C58" s="1" t="s">
        <v>379</v>
      </c>
      <c r="D58" s="2">
        <v>46226.0</v>
      </c>
      <c r="E58" s="1" t="s">
        <v>89</v>
      </c>
      <c r="F58" s="1" t="s">
        <v>380</v>
      </c>
      <c r="G58" s="1">
        <f>IF(A58&lt;&gt;"",SUMIF(RESULT!D:D,members!A58,RESULT!I:I),"")</f>
        <v>28</v>
      </c>
      <c r="H58" s="1" t="s">
        <v>95</v>
      </c>
      <c r="I58" s="1">
        <f>IF($A58&lt;&gt;"",SUMIF(RESULT!D:D,members!$A58,RESULT!J:J),"")</f>
        <v>3</v>
      </c>
      <c r="J58" s="1">
        <f>IF($A58&lt;&gt;"",SUMIF(RESULT!D:D,members!$A58,RESULT!K:K),"")</f>
        <v>2</v>
      </c>
      <c r="K58" s="5">
        <f t="shared" si="2"/>
        <v>60</v>
      </c>
      <c r="L58" s="1" t="s">
        <v>33</v>
      </c>
    </row>
    <row r="59" ht="15.75" customHeight="1">
      <c r="A59" s="1" t="s">
        <v>599</v>
      </c>
      <c r="B59" s="1">
        <v>58.0</v>
      </c>
      <c r="C59" s="1" t="s">
        <v>307</v>
      </c>
      <c r="D59" s="2">
        <v>46223.0</v>
      </c>
      <c r="E59" s="1" t="s">
        <v>89</v>
      </c>
      <c r="F59" s="1" t="s">
        <v>308</v>
      </c>
      <c r="G59" s="1">
        <f>IF(A59&lt;&gt;"",SUMIF(RESULT!D:D,members!A59,RESULT!I:I),"")</f>
        <v>12</v>
      </c>
      <c r="H59" s="1" t="s">
        <v>95</v>
      </c>
      <c r="I59" s="1">
        <f>IF($A59&lt;&gt;"",SUMIF(RESULT!D:D,members!$A59,RESULT!J:J),"")</f>
        <v>2</v>
      </c>
      <c r="J59" s="1">
        <f>IF($A59&lt;&gt;"",SUMIF(RESULT!D:D,members!$A59,RESULT!K:K),"")</f>
        <v>5</v>
      </c>
      <c r="K59" s="5">
        <f t="shared" si="2"/>
        <v>28.57142857</v>
      </c>
      <c r="L59" s="1" t="s">
        <v>33</v>
      </c>
    </row>
    <row r="60" ht="15.75" customHeight="1">
      <c r="A60" s="1" t="s">
        <v>604</v>
      </c>
      <c r="B60" s="1">
        <v>59.0</v>
      </c>
      <c r="C60" s="1" t="s">
        <v>412</v>
      </c>
      <c r="D60" s="2">
        <v>46229.0</v>
      </c>
      <c r="E60" s="1" t="s">
        <v>38</v>
      </c>
      <c r="F60" s="1" t="s">
        <v>413</v>
      </c>
      <c r="G60" s="1">
        <f>IF(A60&lt;&gt;"",SUMIF(RESULT!D:D,members!A60,RESULT!I:I),"")</f>
        <v>35</v>
      </c>
      <c r="H60" s="1" t="s">
        <v>95</v>
      </c>
      <c r="I60" s="1">
        <f>IF($A60&lt;&gt;"",SUMIF(RESULT!D:D,members!$A60,RESULT!J:J),"")</f>
        <v>6</v>
      </c>
      <c r="J60" s="1">
        <f>IF($A60&lt;&gt;"",SUMIF(RESULT!D:D,members!$A60,RESULT!K:K),"")</f>
        <v>2</v>
      </c>
      <c r="K60" s="5">
        <f t="shared" si="2"/>
        <v>75</v>
      </c>
      <c r="L60" s="1" t="s">
        <v>33</v>
      </c>
    </row>
    <row r="61" ht="15.75" customHeight="1">
      <c r="A61" s="1" t="s">
        <v>606</v>
      </c>
      <c r="B61" s="1">
        <v>60.0</v>
      </c>
      <c r="C61" s="1" t="s">
        <v>402</v>
      </c>
      <c r="D61" s="2">
        <v>46229.0</v>
      </c>
      <c r="E61" s="1" t="s">
        <v>38</v>
      </c>
      <c r="F61" s="1" t="s">
        <v>403</v>
      </c>
      <c r="G61" s="1">
        <f>IF(A61&lt;&gt;"",SUMIF(RESULT!D:D,members!A61,RESULT!I:I),"")</f>
        <v>28</v>
      </c>
      <c r="H61" s="1" t="s">
        <v>95</v>
      </c>
      <c r="I61" s="1">
        <f>IF($A61&lt;&gt;"",SUMIF(RESULT!D:D,members!$A61,RESULT!J:J),"")</f>
        <v>6</v>
      </c>
      <c r="J61" s="1">
        <f>IF($A61&lt;&gt;"",SUMIF(RESULT!D:D,members!$A61,RESULT!K:K),"")</f>
        <v>2</v>
      </c>
      <c r="K61" s="5">
        <f t="shared" si="2"/>
        <v>75</v>
      </c>
      <c r="L61" s="1" t="s">
        <v>33</v>
      </c>
    </row>
    <row r="62" ht="15.75" customHeight="1">
      <c r="A62" s="1" t="s">
        <v>609</v>
      </c>
      <c r="B62" s="1">
        <v>61.0</v>
      </c>
      <c r="C62" s="1" t="s">
        <v>422</v>
      </c>
      <c r="D62" s="2">
        <v>46229.0</v>
      </c>
      <c r="E62" s="1" t="s">
        <v>89</v>
      </c>
      <c r="F62" s="1" t="s">
        <v>423</v>
      </c>
      <c r="G62" s="1">
        <f>IF(A62&lt;&gt;"",SUMIF(RESULT!D:D,members!A62,RESULT!I:I),"")</f>
        <v>16</v>
      </c>
      <c r="H62" s="1" t="s">
        <v>95</v>
      </c>
      <c r="I62" s="1">
        <f>IF($A62&lt;&gt;"",SUMIF(RESULT!D:D,members!$A62,RESULT!J:J),"")</f>
        <v>5</v>
      </c>
      <c r="J62" s="1">
        <f>IF($A62&lt;&gt;"",SUMIF(RESULT!D:D,members!$A62,RESULT!K:K),"")</f>
        <v>3</v>
      </c>
      <c r="K62" s="5">
        <f t="shared" si="2"/>
        <v>62.5</v>
      </c>
      <c r="L62" s="1" t="s">
        <v>33</v>
      </c>
    </row>
    <row r="63" ht="15.75" customHeight="1">
      <c r="A63" s="1" t="s">
        <v>611</v>
      </c>
      <c r="B63" s="1">
        <v>62.0</v>
      </c>
      <c r="C63" s="1" t="s">
        <v>407</v>
      </c>
      <c r="D63" s="2">
        <v>46229.0</v>
      </c>
      <c r="E63" s="1" t="s">
        <v>252</v>
      </c>
      <c r="F63" s="1" t="s">
        <v>408</v>
      </c>
      <c r="G63" s="1">
        <f>IF(A63&lt;&gt;"",SUMIF(RESULT!D:D,members!A63,RESULT!I:I),"")</f>
        <v>11</v>
      </c>
      <c r="H63" s="1" t="s">
        <v>95</v>
      </c>
      <c r="I63" s="1">
        <f>IF($A63&lt;&gt;"",SUMIF(RESULT!D:D,members!$A63,RESULT!J:J),"")</f>
        <v>1</v>
      </c>
      <c r="J63" s="1">
        <f>IF($A63&lt;&gt;"",SUMIF(RESULT!D:D,members!$A63,RESULT!K:K),"")</f>
        <v>7</v>
      </c>
      <c r="K63" s="5">
        <f t="shared" si="2"/>
        <v>12.5</v>
      </c>
      <c r="L63" s="1" t="s">
        <v>33</v>
      </c>
    </row>
    <row r="64" ht="15.75" customHeight="1">
      <c r="A64" s="1" t="s">
        <v>614</v>
      </c>
      <c r="B64" s="1">
        <v>63.0</v>
      </c>
      <c r="C64" s="1" t="s">
        <v>439</v>
      </c>
      <c r="D64" s="2">
        <v>46230.0</v>
      </c>
      <c r="E64" s="1" t="s">
        <v>38</v>
      </c>
      <c r="F64" s="1" t="s">
        <v>440</v>
      </c>
      <c r="G64" s="1">
        <f>IF(A64&lt;&gt;"",SUMIF(RESULT!D:D,members!A64,RESULT!I:I),"")</f>
        <v>28</v>
      </c>
      <c r="H64" s="1" t="s">
        <v>95</v>
      </c>
      <c r="I64" s="1">
        <f>IF($A64&lt;&gt;"",SUMIF(RESULT!D:D,members!$A64,RESULT!J:J),"")</f>
        <v>5</v>
      </c>
      <c r="J64" s="1">
        <f>IF($A64&lt;&gt;"",SUMIF(RESULT!D:D,members!$A64,RESULT!K:K),"")</f>
        <v>2</v>
      </c>
      <c r="K64" s="5">
        <f t="shared" si="2"/>
        <v>71.42857143</v>
      </c>
      <c r="L64" s="1" t="s">
        <v>33</v>
      </c>
    </row>
    <row r="65" ht="15.75" customHeight="1">
      <c r="A65" s="1" t="s">
        <v>616</v>
      </c>
      <c r="B65" s="1">
        <v>64.0</v>
      </c>
      <c r="C65" s="1" t="s">
        <v>444</v>
      </c>
      <c r="D65" s="2">
        <v>46230.0</v>
      </c>
      <c r="E65" s="1" t="s">
        <v>38</v>
      </c>
      <c r="F65" s="1" t="s">
        <v>445</v>
      </c>
      <c r="G65" s="1">
        <f>IF(A65&lt;&gt;"",SUMIF(RESULT!D:D,members!A65,RESULT!I:I),"")</f>
        <v>22</v>
      </c>
      <c r="H65" s="1" t="s">
        <v>95</v>
      </c>
      <c r="I65" s="1">
        <f>IF($A65&lt;&gt;"",SUMIF(RESULT!D:D,members!$A65,RESULT!J:J),"")</f>
        <v>4</v>
      </c>
      <c r="J65" s="1">
        <f>IF($A65&lt;&gt;"",SUMIF(RESULT!D:D,members!$A65,RESULT!K:K),"")</f>
        <v>3</v>
      </c>
      <c r="K65" s="5">
        <f t="shared" si="2"/>
        <v>57.14285714</v>
      </c>
      <c r="L65" s="1" t="s">
        <v>33</v>
      </c>
    </row>
    <row r="66" ht="15.75" customHeight="1">
      <c r="A66" s="1" t="s">
        <v>618</v>
      </c>
      <c r="B66" s="1">
        <v>65.0</v>
      </c>
      <c r="C66" s="1" t="s">
        <v>434</v>
      </c>
      <c r="D66" s="2">
        <v>46230.0</v>
      </c>
      <c r="E66" s="1" t="s">
        <v>89</v>
      </c>
      <c r="F66" s="1" t="s">
        <v>435</v>
      </c>
      <c r="G66" s="1">
        <f>IF(A66&lt;&gt;"",SUMIF(RESULT!D:D,members!A66,RESULT!I:I),"")</f>
        <v>14</v>
      </c>
      <c r="H66" s="1" t="s">
        <v>95</v>
      </c>
      <c r="I66" s="1">
        <f>IF($A66&lt;&gt;"",SUMIF(RESULT!D:D,members!$A66,RESULT!J:J),"")</f>
        <v>3</v>
      </c>
      <c r="J66" s="1">
        <f>IF($A66&lt;&gt;"",SUMIF(RESULT!D:D,members!$A66,RESULT!K:K),"")</f>
        <v>4</v>
      </c>
      <c r="K66" s="5">
        <f t="shared" si="2"/>
        <v>42.85714286</v>
      </c>
      <c r="L66" s="1" t="s">
        <v>33</v>
      </c>
    </row>
    <row r="67" ht="15.75" customHeight="1">
      <c r="A67" s="1" t="s">
        <v>642</v>
      </c>
      <c r="B67" s="1">
        <v>66.0</v>
      </c>
      <c r="C67" s="1" t="s">
        <v>621</v>
      </c>
      <c r="D67" s="1" t="s">
        <v>33</v>
      </c>
      <c r="E67" s="1" t="s">
        <v>89</v>
      </c>
      <c r="F67" s="1" t="s">
        <v>33</v>
      </c>
      <c r="G67" s="1">
        <f>IF(A67&lt;&gt;"",SUMIF(RESULT!D:D,members!A67,RESULT!I:I),"")</f>
        <v>0</v>
      </c>
      <c r="H67" s="1" t="s">
        <v>95</v>
      </c>
      <c r="I67" s="1">
        <f>IF($A67&lt;&gt;"",SUMIF(RESULT!D:D,members!$A67,RESULT!J:J),"")</f>
        <v>0</v>
      </c>
      <c r="J67" s="1">
        <f>IF($A67&lt;&gt;"",SUMIF(RESULT!D:D,members!$A67,RESULT!K:K),"")</f>
        <v>0</v>
      </c>
      <c r="K67" s="5" t="str">
        <f t="shared" si="2"/>
        <v>#DIV/0!</v>
      </c>
      <c r="L67" s="1" t="s">
        <v>33</v>
      </c>
    </row>
    <row r="68" ht="15.75" customHeight="1">
      <c r="A68" s="1" t="s">
        <v>622</v>
      </c>
      <c r="B68" s="1">
        <v>67.0</v>
      </c>
      <c r="C68" s="1" t="s">
        <v>417</v>
      </c>
      <c r="D68" s="2">
        <v>46229.0</v>
      </c>
      <c r="E68" s="1" t="s">
        <v>89</v>
      </c>
      <c r="F68" s="1" t="s">
        <v>418</v>
      </c>
      <c r="G68" s="1">
        <f>IF(A68&lt;&gt;"",SUMIF(RESULT!D:D,members!A68,RESULT!I:I),"")</f>
        <v>11</v>
      </c>
      <c r="H68" s="1" t="s">
        <v>95</v>
      </c>
      <c r="I68" s="1">
        <f>IF($A68&lt;&gt;"",SUMIF(RESULT!D:D,members!$A68,RESULT!J:J),"")</f>
        <v>1</v>
      </c>
      <c r="J68" s="1">
        <f>IF($A68&lt;&gt;"",SUMIF(RESULT!D:D,members!$A68,RESULT!K:K),"")</f>
        <v>6</v>
      </c>
      <c r="K68" s="5">
        <f t="shared" si="2"/>
        <v>14.28571429</v>
      </c>
      <c r="L68" s="1" t="s">
        <v>33</v>
      </c>
    </row>
    <row r="69" ht="15.75" customHeight="1">
      <c r="A69" s="1" t="s">
        <v>643</v>
      </c>
      <c r="B69" s="1">
        <v>68.0</v>
      </c>
      <c r="C69" s="1" t="s">
        <v>625</v>
      </c>
      <c r="D69" s="1" t="s">
        <v>33</v>
      </c>
      <c r="E69" s="1" t="s">
        <v>89</v>
      </c>
      <c r="F69" s="1" t="s">
        <v>33</v>
      </c>
      <c r="G69" s="1">
        <f>IF(A69&lt;&gt;"",SUMIF(RESULT!D:D,members!A69,RESULT!I:I),"")</f>
        <v>0</v>
      </c>
      <c r="H69" s="1" t="s">
        <v>95</v>
      </c>
      <c r="I69" s="1">
        <f>IF($A69&lt;&gt;"",SUMIF(RESULT!D:D,members!$A69,RESULT!J:J),"")</f>
        <v>0</v>
      </c>
      <c r="J69" s="1">
        <f>IF($A69&lt;&gt;"",SUMIF(RESULT!D:D,members!$A69,RESULT!K:K),"")</f>
        <v>0</v>
      </c>
      <c r="K69" s="5" t="str">
        <f t="shared" si="2"/>
        <v>#DIV/0!</v>
      </c>
      <c r="L69" s="1" t="s">
        <v>33</v>
      </c>
    </row>
    <row r="70" ht="15.75" customHeight="1">
      <c r="A70" s="1" t="s">
        <v>626</v>
      </c>
      <c r="B70" s="1">
        <v>69.0</v>
      </c>
      <c r="C70" s="1" t="s">
        <v>454</v>
      </c>
      <c r="D70" s="2">
        <v>46232.0</v>
      </c>
      <c r="E70" s="1" t="s">
        <v>89</v>
      </c>
      <c r="F70" s="1" t="s">
        <v>455</v>
      </c>
      <c r="G70" s="1">
        <f>IF(A70&lt;&gt;"",SUMIF(RESULT!D:D,members!A70,RESULT!I:I),"")</f>
        <v>16</v>
      </c>
      <c r="H70" s="1" t="s">
        <v>95</v>
      </c>
      <c r="I70" s="1">
        <f>IF($A70&lt;&gt;"",SUMIF(RESULT!D:D,members!$A70,RESULT!J:J),"")</f>
        <v>1</v>
      </c>
      <c r="J70" s="1">
        <f>IF($A70&lt;&gt;"",SUMIF(RESULT!D:D,members!$A70,RESULT!K:K),"")</f>
        <v>3</v>
      </c>
      <c r="K70" s="5">
        <f t="shared" si="2"/>
        <v>25</v>
      </c>
      <c r="L70" s="1" t="s">
        <v>33</v>
      </c>
    </row>
    <row r="71" ht="15.75" customHeight="1">
      <c r="A71" s="1" t="s">
        <v>628</v>
      </c>
      <c r="B71" s="1">
        <v>70.0</v>
      </c>
      <c r="C71" s="1" t="s">
        <v>483</v>
      </c>
      <c r="D71" s="2">
        <v>46233.0</v>
      </c>
      <c r="E71" s="1" t="s">
        <v>89</v>
      </c>
      <c r="F71" s="1" t="s">
        <v>484</v>
      </c>
      <c r="G71" s="1">
        <f>IF(A71&lt;&gt;"",SUMIF(RESULT!D:D,members!A71,RESULT!I:I),"")</f>
        <v>35</v>
      </c>
      <c r="H71" s="1" t="s">
        <v>95</v>
      </c>
      <c r="I71" s="1">
        <f>IF($A71&lt;&gt;"",SUMIF(RESULT!D:D,members!$A71,RESULT!J:J),"")</f>
        <v>5</v>
      </c>
      <c r="J71" s="1">
        <f>IF($A71&lt;&gt;"",SUMIF(RESULT!D:D,members!$A71,RESULT!K:K),"")</f>
        <v>0</v>
      </c>
      <c r="K71" s="5">
        <f t="shared" si="2"/>
        <v>100</v>
      </c>
      <c r="L71" s="1" t="s">
        <v>33</v>
      </c>
    </row>
    <row r="72" ht="15.75" customHeight="1">
      <c r="A72" s="1" t="s">
        <v>630</v>
      </c>
      <c r="B72" s="1">
        <v>71.0</v>
      </c>
      <c r="C72" s="1" t="s">
        <v>488</v>
      </c>
      <c r="D72" s="2">
        <v>46233.0</v>
      </c>
      <c r="E72" s="1" t="s">
        <v>89</v>
      </c>
      <c r="F72" s="1" t="s">
        <v>489</v>
      </c>
      <c r="G72" s="1">
        <f>IF(A72&lt;&gt;"",SUMIF(RESULT!D:D,members!A72,RESULT!I:I),"")</f>
        <v>28</v>
      </c>
      <c r="H72" s="1" t="s">
        <v>95</v>
      </c>
      <c r="I72" s="1">
        <f>IF($A72&lt;&gt;"",SUMIF(RESULT!D:D,members!$A72,RESULT!J:J),"")</f>
        <v>4</v>
      </c>
      <c r="J72" s="1">
        <f>IF($A72&lt;&gt;"",SUMIF(RESULT!D:D,members!$A72,RESULT!K:K),"")</f>
        <v>1</v>
      </c>
      <c r="K72" s="5">
        <f t="shared" si="2"/>
        <v>80</v>
      </c>
      <c r="L72" s="1" t="s">
        <v>33</v>
      </c>
    </row>
    <row r="73" ht="15.75" customHeight="1">
      <c r="A73" s="1" t="s">
        <v>632</v>
      </c>
      <c r="B73" s="1">
        <v>72.0</v>
      </c>
      <c r="C73" s="1" t="s">
        <v>466</v>
      </c>
      <c r="D73" s="2">
        <v>46233.0</v>
      </c>
      <c r="E73" s="1" t="s">
        <v>89</v>
      </c>
      <c r="F73" s="1" t="s">
        <v>467</v>
      </c>
      <c r="G73" s="1">
        <f>IF(A73&lt;&gt;"",SUMIF(RESULT!D:D,members!A73,RESULT!I:I),"")</f>
        <v>38</v>
      </c>
      <c r="H73" s="1" t="s">
        <v>95</v>
      </c>
      <c r="I73" s="1">
        <f>IF($A73&lt;&gt;"",SUMIF(RESULT!D:D,members!$A73,RESULT!J:J),"")</f>
        <v>4</v>
      </c>
      <c r="J73" s="1">
        <f>IF($A73&lt;&gt;"",SUMIF(RESULT!D:D,members!$A73,RESULT!K:K),"")</f>
        <v>6</v>
      </c>
      <c r="K73" s="5">
        <f t="shared" si="2"/>
        <v>40</v>
      </c>
      <c r="L73" s="1" t="s">
        <v>33</v>
      </c>
    </row>
    <row r="74" ht="15.75" customHeight="1">
      <c r="A74" s="1" t="s">
        <v>634</v>
      </c>
      <c r="B74" s="1">
        <v>73.0</v>
      </c>
      <c r="C74" s="1" t="s">
        <v>477</v>
      </c>
      <c r="D74" s="2">
        <v>46233.0</v>
      </c>
      <c r="E74" s="1" t="s">
        <v>89</v>
      </c>
      <c r="F74" s="1" t="s">
        <v>478</v>
      </c>
      <c r="G74" s="1">
        <f>IF(A74&lt;&gt;"",SUMIF(RESULT!D:D,members!A74,RESULT!I:I),"")</f>
        <v>16</v>
      </c>
      <c r="H74" s="1" t="s">
        <v>95</v>
      </c>
      <c r="I74" s="1">
        <f>IF($A74&lt;&gt;"",SUMIF(RESULT!D:D,members!$A74,RESULT!J:J),"")</f>
        <v>1</v>
      </c>
      <c r="J74" s="1">
        <f>IF($A74&lt;&gt;"",SUMIF(RESULT!D:D,members!$A74,RESULT!K:K),"")</f>
        <v>4</v>
      </c>
      <c r="K74" s="5">
        <f t="shared" si="2"/>
        <v>20</v>
      </c>
      <c r="L74" s="1" t="s">
        <v>33</v>
      </c>
    </row>
    <row r="75" ht="15.75" customHeight="1">
      <c r="A75" s="1" t="s">
        <v>635</v>
      </c>
      <c r="B75" s="1">
        <v>74.0</v>
      </c>
      <c r="C75" s="1" t="s">
        <v>471</v>
      </c>
      <c r="D75" s="2">
        <v>46233.0</v>
      </c>
      <c r="E75" s="1" t="s">
        <v>89</v>
      </c>
      <c r="F75" s="1" t="s">
        <v>472</v>
      </c>
      <c r="G75" s="1">
        <f>IF(A75&lt;&gt;"",SUMIF(RESULT!D:D,members!A75,RESULT!I:I),"")</f>
        <v>14</v>
      </c>
      <c r="H75" s="1" t="s">
        <v>95</v>
      </c>
      <c r="I75" s="1">
        <f>IF($A75&lt;&gt;"",SUMIF(RESULT!D:D,members!$A75,RESULT!J:J),"")</f>
        <v>0</v>
      </c>
      <c r="J75" s="1">
        <f>IF($A75&lt;&gt;"",SUMIF(RESULT!D:D,members!$A75,RESULT!K:K),"")</f>
        <v>5</v>
      </c>
      <c r="K75" s="5">
        <f t="shared" si="2"/>
        <v>0</v>
      </c>
      <c r="L75" s="1" t="s">
        <v>33</v>
      </c>
    </row>
    <row r="76" ht="15.75" customHeight="1">
      <c r="A76" s="1" t="s">
        <v>638</v>
      </c>
      <c r="B76" s="1">
        <v>75.0</v>
      </c>
      <c r="C76" s="1" t="s">
        <v>493</v>
      </c>
      <c r="D76" s="2">
        <v>46234.0</v>
      </c>
      <c r="E76" s="1" t="s">
        <v>38</v>
      </c>
      <c r="F76" s="1" t="s">
        <v>494</v>
      </c>
      <c r="G76" s="1">
        <f>IF(A76&lt;&gt;"",SUMIF(RESULT!D:D,members!A76,RESULT!I:I),"")</f>
        <v>35</v>
      </c>
      <c r="H76" s="1" t="s">
        <v>95</v>
      </c>
      <c r="I76" s="1">
        <f>IF($A76&lt;&gt;"",SUMIF(RESULT!D:D,members!$A76,RESULT!J:J),"")</f>
        <v>6</v>
      </c>
      <c r="J76" s="1">
        <f>IF($A76&lt;&gt;"",SUMIF(RESULT!D:D,members!$A76,RESULT!K:K),"")</f>
        <v>1</v>
      </c>
      <c r="K76" s="5">
        <f t="shared" si="2"/>
        <v>85.71428571</v>
      </c>
      <c r="L76" s="1" t="s">
        <v>33</v>
      </c>
    </row>
    <row r="77" ht="15.75" customHeight="1">
      <c r="A77" s="1" t="s">
        <v>640</v>
      </c>
      <c r="B77" s="1">
        <v>76.0</v>
      </c>
      <c r="C77" s="1" t="s">
        <v>510</v>
      </c>
      <c r="D77" s="2">
        <v>46234.0</v>
      </c>
      <c r="E77" s="1" t="s">
        <v>38</v>
      </c>
      <c r="F77" s="1" t="s">
        <v>511</v>
      </c>
      <c r="G77" s="1">
        <f>IF(A77&lt;&gt;"",SUMIF(RESULT!D:D,members!A77,RESULT!I:I),"")</f>
        <v>28</v>
      </c>
      <c r="H77" s="1" t="s">
        <v>95</v>
      </c>
      <c r="I77" s="1">
        <f>IF($A77&lt;&gt;"",SUMIF(RESULT!D:D,members!$A77,RESULT!J:J),"")</f>
        <v>5</v>
      </c>
      <c r="J77" s="1">
        <f>IF($A77&lt;&gt;"",SUMIF(RESULT!D:D,members!$A77,RESULT!K:K),"")</f>
        <v>2</v>
      </c>
      <c r="K77" s="5">
        <f t="shared" si="2"/>
        <v>71.42857143</v>
      </c>
      <c r="L77" s="1" t="s">
        <v>33</v>
      </c>
    </row>
    <row r="78" ht="15.75" customHeight="1">
      <c r="A78" s="1" t="s">
        <v>644</v>
      </c>
      <c r="B78" s="1">
        <v>77.0</v>
      </c>
      <c r="C78" s="1" t="s">
        <v>498</v>
      </c>
      <c r="D78" s="2">
        <v>46234.0</v>
      </c>
      <c r="E78" s="1" t="s">
        <v>89</v>
      </c>
      <c r="F78" s="1" t="s">
        <v>499</v>
      </c>
      <c r="G78" s="1">
        <f>IF(A78&lt;&gt;"",SUMIF(RESULT!D:D,members!A78,RESULT!I:I),"")</f>
        <v>12</v>
      </c>
      <c r="H78" s="1" t="s">
        <v>95</v>
      </c>
      <c r="I78" s="1">
        <f>IF($A78&lt;&gt;"",SUMIF(RESULT!D:D,members!$A78,RESULT!J:J),"")</f>
        <v>2</v>
      </c>
      <c r="J78" s="1">
        <f>IF($A78&lt;&gt;"",SUMIF(RESULT!D:D,members!$A78,RESULT!K:K),"")</f>
        <v>5</v>
      </c>
      <c r="K78" s="5">
        <f t="shared" si="2"/>
        <v>28.57142857</v>
      </c>
      <c r="L78" s="1" t="s">
        <v>33</v>
      </c>
    </row>
    <row r="79" ht="15.75" customHeight="1">
      <c r="A79" s="1" t="s">
        <v>658</v>
      </c>
      <c r="B79" s="1">
        <v>78.0</v>
      </c>
      <c r="C79" s="1" t="s">
        <v>428</v>
      </c>
      <c r="D79" s="2">
        <v>46230.0</v>
      </c>
      <c r="E79" s="1" t="s">
        <v>33</v>
      </c>
      <c r="F79" s="1" t="s">
        <v>429</v>
      </c>
      <c r="G79" s="1">
        <f>IF(A79&lt;&gt;"",SUMIF(RESULT!D:D,members!A79,RESULT!I:I),"")</f>
        <v>0</v>
      </c>
      <c r="H79" s="1" t="s">
        <v>95</v>
      </c>
      <c r="I79" s="1">
        <f>IF($A79&lt;&gt;"",SUMIF(RESULT!D:D,members!$A79,RESULT!J:J),"")</f>
        <v>0</v>
      </c>
      <c r="J79" s="1">
        <f>IF($A79&lt;&gt;"",SUMIF(RESULT!D:D,members!$A79,RESULT!K:K),"")</f>
        <v>0</v>
      </c>
      <c r="K79" s="5">
        <v>0.0</v>
      </c>
      <c r="L79" s="1" t="s">
        <v>33</v>
      </c>
    </row>
    <row r="80" ht="15.75" customHeight="1">
      <c r="A80" s="1" t="s">
        <v>660</v>
      </c>
      <c r="B80" s="1">
        <v>79.0</v>
      </c>
      <c r="C80" s="1" t="s">
        <v>449</v>
      </c>
      <c r="D80" s="2">
        <v>46230.0</v>
      </c>
      <c r="E80" s="1" t="s">
        <v>33</v>
      </c>
      <c r="F80" s="1" t="s">
        <v>450</v>
      </c>
      <c r="G80" s="1">
        <f>IF(A80&lt;&gt;"",SUMIF(RESULT!D:D,members!A80,RESULT!I:I),"")</f>
        <v>0</v>
      </c>
      <c r="H80" s="1" t="s">
        <v>95</v>
      </c>
      <c r="I80" s="1">
        <f>IF($A80&lt;&gt;"",SUMIF(RESULT!D:D,members!$A80,RESULT!J:J),"")</f>
        <v>0</v>
      </c>
      <c r="J80" s="1">
        <f>IF($A80&lt;&gt;"",SUMIF(RESULT!D:D,members!$A80,RESULT!K:K),"")</f>
        <v>0</v>
      </c>
      <c r="K80" s="5">
        <v>0.0</v>
      </c>
      <c r="L80" s="1" t="s">
        <v>33</v>
      </c>
    </row>
    <row r="81" ht="15.75" customHeight="1">
      <c r="A81" s="1" t="s">
        <v>620</v>
      </c>
      <c r="B81" s="1">
        <v>80.0</v>
      </c>
      <c r="C81" s="1" t="s">
        <v>460</v>
      </c>
      <c r="D81" s="2">
        <v>46232.0</v>
      </c>
      <c r="E81" s="1" t="s">
        <v>33</v>
      </c>
      <c r="F81" s="1" t="s">
        <v>461</v>
      </c>
      <c r="G81" s="1">
        <f>IF(A81&lt;&gt;"",SUMIF(RESULT!D:D,members!A81,RESULT!I:I),"")</f>
        <v>40</v>
      </c>
      <c r="H81" s="1" t="s">
        <v>95</v>
      </c>
      <c r="I81" s="1">
        <f>IF($A81&lt;&gt;"",SUMIF(RESULT!D:D,members!$A81,RESULT!J:J),"")</f>
        <v>3</v>
      </c>
      <c r="J81" s="1">
        <f>IF($A81&lt;&gt;"",SUMIF(RESULT!D:D,members!$A81,RESULT!K:K),"")</f>
        <v>8</v>
      </c>
      <c r="K81" s="5">
        <v>0.0</v>
      </c>
      <c r="L81" s="1" t="s">
        <v>33</v>
      </c>
    </row>
    <row r="82" ht="15.75" customHeight="1">
      <c r="A82" s="1" t="s">
        <v>663</v>
      </c>
      <c r="B82" s="1">
        <v>81.0</v>
      </c>
      <c r="C82" s="1" t="s">
        <v>505</v>
      </c>
      <c r="D82" s="2">
        <v>46234.0</v>
      </c>
      <c r="E82" s="1" t="s">
        <v>33</v>
      </c>
      <c r="F82" s="1" t="s">
        <v>506</v>
      </c>
      <c r="G82" s="1">
        <f>IF(A82&lt;&gt;"",SUMIF(RESULT!D:D,members!A82,RESULT!I:I),"")</f>
        <v>0</v>
      </c>
      <c r="H82" s="1" t="s">
        <v>95</v>
      </c>
      <c r="I82" s="1">
        <f>IF($A82&lt;&gt;"",SUMIF(RESULT!D:D,members!$A82,RESULT!J:J),"")</f>
        <v>0</v>
      </c>
      <c r="J82" s="1">
        <f>IF($A82&lt;&gt;"",SUMIF(RESULT!D:D,members!$A82,RESULT!K:K),"")</f>
        <v>0</v>
      </c>
      <c r="K82" s="5">
        <v>0.0</v>
      </c>
      <c r="L82" s="1" t="s">
        <v>33</v>
      </c>
    </row>
    <row r="83" ht="15.75" customHeight="1">
      <c r="A83" s="1" t="s">
        <v>664</v>
      </c>
      <c r="B83" s="1">
        <v>82.0</v>
      </c>
      <c r="C83" s="1" t="s">
        <v>515</v>
      </c>
      <c r="D83" s="2">
        <v>46235.0</v>
      </c>
      <c r="E83" s="1" t="s">
        <v>33</v>
      </c>
      <c r="F83" s="1" t="s">
        <v>516</v>
      </c>
      <c r="G83" s="1">
        <f>IF(A83&lt;&gt;"",SUMIF(RESULT!D:D,members!A83,RESULT!I:I),"")</f>
        <v>0</v>
      </c>
      <c r="H83" s="1" t="s">
        <v>95</v>
      </c>
      <c r="I83" s="1">
        <f>IF($A83&lt;&gt;"",SUMIF(RESULT!D:D,members!$A83,RESULT!J:J),"")</f>
        <v>0</v>
      </c>
      <c r="J83" s="1">
        <f>IF($A83&lt;&gt;"",SUMIF(RESULT!D:D,members!$A83,RESULT!K:K),"")</f>
        <v>0</v>
      </c>
      <c r="K83" s="5">
        <v>0.0</v>
      </c>
      <c r="L83" s="1" t="s">
        <v>33</v>
      </c>
    </row>
    <row r="84" ht="15.75" customHeight="1">
      <c r="A84" s="1" t="s">
        <v>647</v>
      </c>
      <c r="B84" s="1">
        <v>83.0</v>
      </c>
      <c r="C84" s="1" t="s">
        <v>520</v>
      </c>
      <c r="D84" s="2">
        <v>46236.0</v>
      </c>
      <c r="E84" s="1" t="s">
        <v>33</v>
      </c>
      <c r="F84" s="1" t="s">
        <v>521</v>
      </c>
      <c r="G84" s="1">
        <f>IF(A84&lt;&gt;"",SUMIF(RESULT!D:D,members!A84,RESULT!I:I),"")</f>
        <v>12</v>
      </c>
      <c r="H84" s="1" t="s">
        <v>95</v>
      </c>
      <c r="I84" s="1">
        <f>IF($A84&lt;&gt;"",SUMIF(RESULT!D:D,members!$A84,RESULT!J:J),"")</f>
        <v>2</v>
      </c>
      <c r="J84" s="1">
        <f>IF($A84&lt;&gt;"",SUMIF(RESULT!D:D,members!$A84,RESULT!K:K),"")</f>
        <v>5</v>
      </c>
      <c r="K84" s="5">
        <f t="shared" ref="K84:K87" si="3">I84/(I84+J84)*100</f>
        <v>28.57142857</v>
      </c>
      <c r="L84" s="1" t="s">
        <v>33</v>
      </c>
    </row>
    <row r="85" ht="15.75" customHeight="1">
      <c r="A85" s="1" t="s">
        <v>649</v>
      </c>
      <c r="B85" s="1">
        <v>84.0</v>
      </c>
      <c r="C85" s="1" t="s">
        <v>525</v>
      </c>
      <c r="D85" s="2">
        <v>46236.0</v>
      </c>
      <c r="E85" s="1" t="s">
        <v>33</v>
      </c>
      <c r="F85" s="1" t="s">
        <v>526</v>
      </c>
      <c r="G85" s="1">
        <f>IF(A85&lt;&gt;"",SUMIF(RESULT!D:D,members!A85,RESULT!I:I),"")</f>
        <v>35</v>
      </c>
      <c r="H85" s="1" t="s">
        <v>95</v>
      </c>
      <c r="I85" s="1">
        <f>IF($A85&lt;&gt;"",SUMIF(RESULT!D:D,members!$A85,RESULT!J:J),"")</f>
        <v>6</v>
      </c>
      <c r="J85" s="1">
        <f>IF($A85&lt;&gt;"",SUMIF(RESULT!D:D,members!$A85,RESULT!K:K),"")</f>
        <v>1</v>
      </c>
      <c r="K85" s="5">
        <f t="shared" si="3"/>
        <v>85.71428571</v>
      </c>
      <c r="L85" s="1" t="s">
        <v>33</v>
      </c>
    </row>
    <row r="86" ht="15.75" customHeight="1">
      <c r="A86" s="1" t="s">
        <v>651</v>
      </c>
      <c r="B86" s="1">
        <v>85.0</v>
      </c>
      <c r="C86" s="1" t="s">
        <v>531</v>
      </c>
      <c r="D86" s="2">
        <v>46236.0</v>
      </c>
      <c r="E86" s="1" t="s">
        <v>33</v>
      </c>
      <c r="F86" s="1" t="s">
        <v>532</v>
      </c>
      <c r="G86" s="1">
        <f>IF(A86&lt;&gt;"",SUMIF(RESULT!D:D,members!A86,RESULT!I:I),"")</f>
        <v>18</v>
      </c>
      <c r="H86" s="1" t="s">
        <v>95</v>
      </c>
      <c r="I86" s="1">
        <f>IF($A86&lt;&gt;"",SUMIF(RESULT!D:D,members!$A86,RESULT!J:J),"")</f>
        <v>4</v>
      </c>
      <c r="J86" s="1">
        <f>IF($A86&lt;&gt;"",SUMIF(RESULT!D:D,members!$A86,RESULT!K:K),"")</f>
        <v>3</v>
      </c>
      <c r="K86" s="5">
        <f t="shared" si="3"/>
        <v>57.14285714</v>
      </c>
      <c r="L86" s="1" t="s">
        <v>33</v>
      </c>
    </row>
    <row r="87" ht="15.75" customHeight="1">
      <c r="A87" s="1" t="s">
        <v>652</v>
      </c>
      <c r="B87" s="1">
        <v>86.0</v>
      </c>
      <c r="C87" s="1" t="s">
        <v>536</v>
      </c>
      <c r="D87" s="2">
        <v>46236.0</v>
      </c>
      <c r="E87" s="1" t="s">
        <v>33</v>
      </c>
      <c r="F87" s="1" t="s">
        <v>537</v>
      </c>
      <c r="G87" s="1">
        <f>IF(A87&lt;&gt;"",SUMIF(RESULT!D:D,members!A87,RESULT!I:I),"")</f>
        <v>22</v>
      </c>
      <c r="H87" s="1" t="s">
        <v>95</v>
      </c>
      <c r="I87" s="1">
        <f>IF($A87&lt;&gt;"",SUMIF(RESULT!D:D,members!$A87,RESULT!J:J),"")</f>
        <v>5</v>
      </c>
      <c r="J87" s="1">
        <f>IF($A87&lt;&gt;"",SUMIF(RESULT!D:D,members!$A87,RESULT!K:K),"")</f>
        <v>2</v>
      </c>
      <c r="K87" s="5">
        <f t="shared" si="3"/>
        <v>71.42857143</v>
      </c>
      <c r="L87" s="1" t="s">
        <v>33</v>
      </c>
    </row>
    <row r="88" ht="15.75" customHeight="1">
      <c r="A88" s="1" t="s">
        <v>665</v>
      </c>
      <c r="B88" s="1">
        <v>87.0</v>
      </c>
      <c r="C88" s="1" t="s">
        <v>541</v>
      </c>
      <c r="D88" s="2">
        <v>46236.0</v>
      </c>
      <c r="E88" s="1" t="s">
        <v>33</v>
      </c>
      <c r="F88" s="1" t="s">
        <v>542</v>
      </c>
      <c r="G88" s="1">
        <f>IF(A88&lt;&gt;"",SUMIF(RESULT!D:D,members!A88,RESULT!I:I),"")</f>
        <v>0</v>
      </c>
      <c r="H88" s="1" t="s">
        <v>95</v>
      </c>
      <c r="I88" s="1">
        <f>IF($A88&lt;&gt;"",SUMIF(RESULT!D:D,members!$A88,RESULT!J:J),"")</f>
        <v>0</v>
      </c>
      <c r="J88" s="1">
        <f>IF($A88&lt;&gt;"",SUMIF(RESULT!D:D,members!$A88,RESULT!K:K),"")</f>
        <v>0</v>
      </c>
      <c r="K88" s="5">
        <v>0.0</v>
      </c>
      <c r="L88" s="1" t="s">
        <v>33</v>
      </c>
    </row>
    <row r="89" ht="15.75" customHeight="1">
      <c r="A89" s="1" t="s">
        <v>666</v>
      </c>
      <c r="B89" s="1">
        <v>88.0</v>
      </c>
      <c r="C89" s="1" t="s">
        <v>396</v>
      </c>
      <c r="D89" s="2">
        <v>46228.0</v>
      </c>
      <c r="E89" s="1" t="s">
        <v>33</v>
      </c>
      <c r="F89" s="1" t="s">
        <v>397</v>
      </c>
      <c r="G89" s="1">
        <f>IF(A89&lt;&gt;"",SUMIF(RESULT!D:D,members!A89,RESULT!I:I),"")</f>
        <v>0</v>
      </c>
      <c r="H89" s="1" t="s">
        <v>95</v>
      </c>
      <c r="I89" s="1">
        <f>IF($A89&lt;&gt;"",SUMIF(RESULT!D:D,members!$A89,RESULT!J:J),"")</f>
        <v>0</v>
      </c>
      <c r="J89" s="1">
        <f>IF($A89&lt;&gt;"",SUMIF(RESULT!D:D,members!$A89,RESULT!K:K),"")</f>
        <v>0</v>
      </c>
      <c r="K89" s="5">
        <v>0.0</v>
      </c>
      <c r="L89" s="1" t="s">
        <v>33</v>
      </c>
    </row>
    <row r="90" ht="15.75" customHeight="1">
      <c r="A90" s="1" t="s">
        <v>667</v>
      </c>
      <c r="B90" s="1">
        <v>89.0</v>
      </c>
      <c r="C90" s="1" t="s">
        <v>251</v>
      </c>
      <c r="D90" s="2">
        <v>46219.0</v>
      </c>
      <c r="E90" s="1" t="s">
        <v>33</v>
      </c>
      <c r="F90" s="1" t="s">
        <v>253</v>
      </c>
      <c r="G90" s="1">
        <f>IF(A90&lt;&gt;"",SUMIF(RESULT!D:D,members!A90,RESULT!I:I),"")</f>
        <v>0</v>
      </c>
      <c r="H90" s="1" t="s">
        <v>95</v>
      </c>
      <c r="I90" s="1">
        <f>IF($A90&lt;&gt;"",SUMIF(RESULT!D:D,members!$A90,RESULT!J:J),"")</f>
        <v>0</v>
      </c>
      <c r="J90" s="1">
        <f>IF($A90&lt;&gt;"",SUMIF(RESULT!D:D,members!$A90,RESULT!K:K),"")</f>
        <v>0</v>
      </c>
      <c r="K90" s="5">
        <v>0.0</v>
      </c>
      <c r="L90" s="1" t="s">
        <v>33</v>
      </c>
    </row>
    <row r="91" ht="15.75" customHeight="1">
      <c r="A91" s="1" t="s">
        <v>662</v>
      </c>
      <c r="B91" s="1">
        <v>90.0</v>
      </c>
      <c r="C91" s="1" t="s">
        <v>240</v>
      </c>
      <c r="D91" s="2">
        <v>46217.0</v>
      </c>
      <c r="E91" s="1" t="s">
        <v>33</v>
      </c>
      <c r="F91" s="1" t="s">
        <v>241</v>
      </c>
      <c r="G91" s="1">
        <f>IF(A91&lt;&gt;"",SUMIF(RESULT!D:D,members!A91,RESULT!I:I),"")</f>
        <v>35</v>
      </c>
      <c r="H91" s="1" t="s">
        <v>95</v>
      </c>
      <c r="I91" s="1">
        <f>IF($A91&lt;&gt;"",SUMIF(RESULT!D:D,members!$A91,RESULT!J:J),"")</f>
        <v>6</v>
      </c>
      <c r="J91" s="1">
        <f>IF($A91&lt;&gt;"",SUMIF(RESULT!D:D,members!$A91,RESULT!K:K),"")</f>
        <v>1</v>
      </c>
      <c r="K91" s="5">
        <f>I91/(I91+J91)*100</f>
        <v>85.71428571</v>
      </c>
      <c r="L91" s="1" t="s">
        <v>33</v>
      </c>
    </row>
    <row r="92" ht="15.75" customHeight="1">
      <c r="A92" s="1" t="s">
        <v>668</v>
      </c>
      <c r="B92" s="1">
        <v>91.0</v>
      </c>
      <c r="C92" s="1" t="s">
        <v>245</v>
      </c>
      <c r="D92" s="2">
        <v>46218.0</v>
      </c>
      <c r="E92" s="1" t="s">
        <v>33</v>
      </c>
      <c r="F92" s="1" t="s">
        <v>246</v>
      </c>
      <c r="G92" s="1">
        <f>IF(A92&lt;&gt;"",SUMIF(RESULT!D:D,members!A92,RESULT!I:I),"")</f>
        <v>0</v>
      </c>
      <c r="H92" s="1" t="s">
        <v>95</v>
      </c>
      <c r="I92" s="1">
        <f>IF($A92&lt;&gt;"",SUMIF(RESULT!D:D,members!$A92,RESULT!J:J),"")</f>
        <v>0</v>
      </c>
      <c r="J92" s="1">
        <f>IF($A92&lt;&gt;"",SUMIF(RESULT!D:D,members!$A92,RESULT!K:K),"")</f>
        <v>0</v>
      </c>
      <c r="K92" s="5">
        <v>0.0</v>
      </c>
      <c r="L92" s="1" t="s">
        <v>33</v>
      </c>
    </row>
    <row r="93" ht="15.75" customHeight="1">
      <c r="A93" s="1" t="s">
        <v>669</v>
      </c>
      <c r="B93" s="1">
        <v>92.0</v>
      </c>
      <c r="C93" s="1" t="s">
        <v>670</v>
      </c>
      <c r="D93" s="2">
        <v>46219.0</v>
      </c>
      <c r="E93" s="1" t="s">
        <v>33</v>
      </c>
      <c r="F93" s="1" t="s">
        <v>671</v>
      </c>
      <c r="G93" s="1">
        <f>IF(A93&lt;&gt;"",SUMIF(RESULT!D:D,members!A93,RESULT!I:I),"")</f>
        <v>0</v>
      </c>
      <c r="H93" s="1" t="s">
        <v>95</v>
      </c>
      <c r="I93" s="1">
        <f>IF($A93&lt;&gt;"",SUMIF(RESULT!D:D,members!$A93,RESULT!J:J),"")</f>
        <v>0</v>
      </c>
      <c r="J93" s="1">
        <f>IF($A93&lt;&gt;"",SUMIF(RESULT!D:D,members!$A93,RESULT!K:K),"")</f>
        <v>0</v>
      </c>
      <c r="K93" s="5">
        <v>0.0</v>
      </c>
      <c r="L93" s="1" t="s">
        <v>33</v>
      </c>
    </row>
    <row r="94" ht="15.75" customHeight="1">
      <c r="A94" s="1" t="s">
        <v>672</v>
      </c>
      <c r="B94" s="1">
        <v>93.0</v>
      </c>
      <c r="C94" s="1" t="s">
        <v>264</v>
      </c>
      <c r="D94" s="2">
        <v>46220.0</v>
      </c>
      <c r="E94" s="1" t="s">
        <v>33</v>
      </c>
      <c r="F94" s="1" t="s">
        <v>265</v>
      </c>
      <c r="G94" s="1">
        <f>IF(A94&lt;&gt;"",SUMIF(RESULT!D:D,members!A94,RESULT!I:I),"")</f>
        <v>0</v>
      </c>
      <c r="H94" s="1" t="s">
        <v>95</v>
      </c>
      <c r="I94" s="1">
        <f>IF($A94&lt;&gt;"",SUMIF(RESULT!D:D,members!$A94,RESULT!J:J),"")</f>
        <v>0</v>
      </c>
      <c r="J94" s="1">
        <f>IF($A94&lt;&gt;"",SUMIF(RESULT!D:D,members!$A94,RESULT!K:K),"")</f>
        <v>0</v>
      </c>
      <c r="K94" s="5">
        <v>0.0</v>
      </c>
      <c r="L94" s="1" t="s">
        <v>33</v>
      </c>
    </row>
    <row r="95" ht="15.75" customHeight="1">
      <c r="A95" s="1" t="s">
        <v>673</v>
      </c>
      <c r="B95" s="1">
        <v>94.0</v>
      </c>
      <c r="C95" s="1" t="s">
        <v>281</v>
      </c>
      <c r="D95" s="2">
        <v>46220.0</v>
      </c>
      <c r="E95" s="1" t="s">
        <v>33</v>
      </c>
      <c r="F95" s="1" t="s">
        <v>282</v>
      </c>
      <c r="G95" s="1">
        <f>IF(A95&lt;&gt;"",SUMIF(RESULT!D:D,members!A95,RESULT!I:I),"")</f>
        <v>0</v>
      </c>
      <c r="H95" s="1" t="s">
        <v>95</v>
      </c>
      <c r="I95" s="1">
        <f>IF($A95&lt;&gt;"",SUMIF(RESULT!D:D,members!$A95,RESULT!J:J),"")</f>
        <v>0</v>
      </c>
      <c r="J95" s="1">
        <f>IF($A95&lt;&gt;"",SUMIF(RESULT!D:D,members!$A95,RESULT!K:K),"")</f>
        <v>0</v>
      </c>
      <c r="K95" s="5">
        <v>0.0</v>
      </c>
      <c r="L95" s="1" t="s">
        <v>33</v>
      </c>
    </row>
    <row r="96" ht="15.75" customHeight="1">
      <c r="A96" s="1" t="s">
        <v>674</v>
      </c>
      <c r="B96" s="1">
        <v>95.0</v>
      </c>
      <c r="C96" s="1" t="s">
        <v>296</v>
      </c>
      <c r="D96" s="2">
        <v>46223.0</v>
      </c>
      <c r="E96" s="1" t="s">
        <v>33</v>
      </c>
      <c r="F96" s="1" t="s">
        <v>297</v>
      </c>
      <c r="G96" s="1">
        <f>IF(A96&lt;&gt;"",SUMIF(RESULT!D:D,members!A96,RESULT!I:I),"")</f>
        <v>0</v>
      </c>
      <c r="H96" s="1" t="s">
        <v>95</v>
      </c>
      <c r="I96" s="1">
        <f>IF($A96&lt;&gt;"",SUMIF(RESULT!D:D,members!$A96,RESULT!J:J),"")</f>
        <v>0</v>
      </c>
      <c r="J96" s="1">
        <f>IF($A96&lt;&gt;"",SUMIF(RESULT!D:D,members!$A96,RESULT!K:K),"")</f>
        <v>0</v>
      </c>
      <c r="K96" s="5">
        <v>0.0</v>
      </c>
      <c r="L96" s="1" t="s">
        <v>33</v>
      </c>
    </row>
    <row r="97" ht="15.75" customHeight="1">
      <c r="A97" s="1" t="s">
        <v>675</v>
      </c>
      <c r="B97" s="1">
        <v>96.0</v>
      </c>
      <c r="C97" s="1" t="s">
        <v>301</v>
      </c>
      <c r="D97" s="2">
        <v>46223.0</v>
      </c>
      <c r="E97" s="1" t="s">
        <v>33</v>
      </c>
      <c r="F97" s="1" t="s">
        <v>302</v>
      </c>
      <c r="G97" s="1">
        <f>IF(A97&lt;&gt;"",SUMIF(RESULT!D:D,members!A97,RESULT!I:I),"")</f>
        <v>0</v>
      </c>
      <c r="H97" s="1" t="s">
        <v>95</v>
      </c>
      <c r="I97" s="1">
        <f>IF($A97&lt;&gt;"",SUMIF(RESULT!D:D,members!$A97,RESULT!J:J),"")</f>
        <v>0</v>
      </c>
      <c r="J97" s="1">
        <f>IF($A97&lt;&gt;"",SUMIF(RESULT!D:D,members!$A97,RESULT!K:K),"")</f>
        <v>0</v>
      </c>
      <c r="K97" s="5">
        <v>0.0</v>
      </c>
      <c r="L97" s="1" t="s">
        <v>33</v>
      </c>
    </row>
    <row r="98" ht="15.75" customHeight="1">
      <c r="A98" s="1" t="s">
        <v>676</v>
      </c>
      <c r="B98" s="1">
        <v>97.0</v>
      </c>
      <c r="C98" s="1" t="s">
        <v>314</v>
      </c>
      <c r="D98" s="2">
        <v>46223.0</v>
      </c>
      <c r="E98" s="1" t="s">
        <v>33</v>
      </c>
      <c r="F98" s="1" t="s">
        <v>315</v>
      </c>
      <c r="G98" s="1">
        <f>IF(A98&lt;&gt;"",SUMIF(RESULT!D:D,members!A98,RESULT!I:I),"")</f>
        <v>0</v>
      </c>
      <c r="H98" s="1" t="s">
        <v>95</v>
      </c>
      <c r="I98" s="1">
        <f>IF($A98&lt;&gt;"",SUMIF(RESULT!D:D,members!$A98,RESULT!J:J),"")</f>
        <v>0</v>
      </c>
      <c r="J98" s="1">
        <f>IF($A98&lt;&gt;"",SUMIF(RESULT!D:D,members!$A98,RESULT!K:K),"")</f>
        <v>0</v>
      </c>
      <c r="K98" s="5">
        <v>0.0</v>
      </c>
      <c r="L98" s="1" t="s">
        <v>33</v>
      </c>
    </row>
    <row r="99" ht="15.75" customHeight="1">
      <c r="A99" s="1" t="s">
        <v>587</v>
      </c>
      <c r="B99" s="1">
        <v>98.0</v>
      </c>
      <c r="C99" s="1" t="s">
        <v>319</v>
      </c>
      <c r="D99" s="2">
        <v>46223.0</v>
      </c>
      <c r="E99" s="1" t="s">
        <v>33</v>
      </c>
      <c r="F99" s="1" t="s">
        <v>321</v>
      </c>
      <c r="G99" s="1">
        <f>IF(A99&lt;&gt;"",SUMIF(RESULT!D:D,members!A99,RESULT!I:I),"")</f>
        <v>127</v>
      </c>
      <c r="H99" s="1" t="s">
        <v>95</v>
      </c>
      <c r="I99" s="1">
        <f>IF($A99&lt;&gt;"",SUMIF(RESULT!D:D,members!$A99,RESULT!J:J),"")</f>
        <v>22</v>
      </c>
      <c r="J99" s="1">
        <f>IF($A99&lt;&gt;"",SUMIF(RESULT!D:D,members!$A99,RESULT!K:K),"")</f>
        <v>19</v>
      </c>
      <c r="K99" s="5">
        <f>I99/(I99+J99)*100</f>
        <v>53.65853659</v>
      </c>
      <c r="L99" s="1" t="s">
        <v>33</v>
      </c>
    </row>
    <row r="100" ht="15.75" customHeight="1">
      <c r="A100" s="1" t="s">
        <v>677</v>
      </c>
      <c r="B100" s="1">
        <v>99.0</v>
      </c>
      <c r="C100" s="1" t="s">
        <v>325</v>
      </c>
      <c r="D100" s="2">
        <v>46223.0</v>
      </c>
      <c r="E100" s="1" t="s">
        <v>33</v>
      </c>
      <c r="F100" s="1" t="s">
        <v>326</v>
      </c>
      <c r="G100" s="1">
        <f>IF(A100&lt;&gt;"",SUMIF(RESULT!D:D,members!A100,RESULT!I:I),"")</f>
        <v>0</v>
      </c>
      <c r="H100" s="1" t="s">
        <v>95</v>
      </c>
      <c r="I100" s="1">
        <f>IF($A100&lt;&gt;"",SUMIF(RESULT!D:D,members!$A100,RESULT!J:J),"")</f>
        <v>0</v>
      </c>
      <c r="J100" s="1">
        <f>IF($A100&lt;&gt;"",SUMIF(RESULT!D:D,members!$A100,RESULT!K:K),"")</f>
        <v>0</v>
      </c>
      <c r="K100" s="5">
        <v>0.0</v>
      </c>
      <c r="L100" s="1" t="s">
        <v>33</v>
      </c>
    </row>
    <row r="101" ht="15.75" customHeight="1">
      <c r="A101" s="1" t="s">
        <v>678</v>
      </c>
      <c r="B101" s="1">
        <v>100.0</v>
      </c>
      <c r="C101" s="1" t="s">
        <v>330</v>
      </c>
      <c r="D101" s="2">
        <v>46223.0</v>
      </c>
      <c r="E101" s="1" t="s">
        <v>33</v>
      </c>
      <c r="F101" s="1" t="s">
        <v>331</v>
      </c>
      <c r="G101" s="1">
        <f>IF(A101&lt;&gt;"",SUMIF(RESULT!D:D,members!A101,RESULT!I:I),"")</f>
        <v>0</v>
      </c>
      <c r="H101" s="1" t="s">
        <v>95</v>
      </c>
      <c r="I101" s="1">
        <f>IF($A101&lt;&gt;"",SUMIF(RESULT!D:D,members!$A101,RESULT!J:J),"")</f>
        <v>0</v>
      </c>
      <c r="J101" s="1">
        <f>IF($A101&lt;&gt;"",SUMIF(RESULT!D:D,members!$A101,RESULT!K:K),"")</f>
        <v>0</v>
      </c>
      <c r="K101" s="5">
        <v>0.0</v>
      </c>
      <c r="L101" s="1" t="s">
        <v>33</v>
      </c>
    </row>
    <row r="102" ht="15.75" customHeight="1">
      <c r="A102" s="1" t="s">
        <v>679</v>
      </c>
      <c r="B102" s="1">
        <v>101.0</v>
      </c>
      <c r="C102" s="1" t="s">
        <v>335</v>
      </c>
      <c r="D102" s="2">
        <v>46224.0</v>
      </c>
      <c r="E102" s="1" t="s">
        <v>33</v>
      </c>
      <c r="F102" s="1" t="s">
        <v>336</v>
      </c>
      <c r="G102" s="1">
        <f>IF(A102&lt;&gt;"",SUMIF(RESULT!D:D,members!A102,RESULT!I:I),"")</f>
        <v>0</v>
      </c>
      <c r="H102" s="1" t="s">
        <v>95</v>
      </c>
      <c r="I102" s="1">
        <f>IF($A102&lt;&gt;"",SUMIF(RESULT!D:D,members!$A102,RESULT!J:J),"")</f>
        <v>0</v>
      </c>
      <c r="J102" s="1">
        <f>IF($A102&lt;&gt;"",SUMIF(RESULT!D:D,members!$A102,RESULT!K:K),"")</f>
        <v>0</v>
      </c>
      <c r="K102" s="5">
        <v>0.0</v>
      </c>
      <c r="L102" s="1" t="s">
        <v>33</v>
      </c>
    </row>
    <row r="103" ht="15.75" customHeight="1">
      <c r="A103" s="1" t="s">
        <v>680</v>
      </c>
      <c r="B103" s="1">
        <v>102.0</v>
      </c>
      <c r="C103" s="1" t="s">
        <v>341</v>
      </c>
      <c r="D103" s="2">
        <v>46224.0</v>
      </c>
      <c r="E103" s="1" t="s">
        <v>33</v>
      </c>
      <c r="F103" s="1" t="s">
        <v>342</v>
      </c>
      <c r="G103" s="1">
        <f>IF(A103&lt;&gt;"",SUMIF(RESULT!D:D,members!A103,RESULT!I:I),"")</f>
        <v>0</v>
      </c>
      <c r="H103" s="1" t="s">
        <v>95</v>
      </c>
      <c r="I103" s="1">
        <f>IF($A103&lt;&gt;"",SUMIF(RESULT!D:D,members!$A103,RESULT!J:J),"")</f>
        <v>0</v>
      </c>
      <c r="J103" s="1">
        <f>IF($A103&lt;&gt;"",SUMIF(RESULT!D:D,members!$A103,RESULT!K:K),"")</f>
        <v>0</v>
      </c>
      <c r="K103" s="5">
        <v>0.0</v>
      </c>
      <c r="L103" s="1" t="s">
        <v>33</v>
      </c>
    </row>
    <row r="104" ht="15.75" customHeight="1">
      <c r="A104" s="1" t="s">
        <v>681</v>
      </c>
      <c r="B104" s="1">
        <v>103.0</v>
      </c>
      <c r="C104" s="1" t="s">
        <v>346</v>
      </c>
      <c r="D104" s="2">
        <v>46224.0</v>
      </c>
      <c r="E104" s="1" t="s">
        <v>33</v>
      </c>
      <c r="F104" s="1" t="s">
        <v>347</v>
      </c>
      <c r="G104" s="1">
        <f>IF(A104&lt;&gt;"",SUMIF(RESULT!D:D,members!A104,RESULT!I:I),"")</f>
        <v>0</v>
      </c>
      <c r="H104" s="1" t="s">
        <v>95</v>
      </c>
      <c r="I104" s="1">
        <f>IF($A104&lt;&gt;"",SUMIF(RESULT!D:D,members!$A104,RESULT!J:J),"")</f>
        <v>0</v>
      </c>
      <c r="J104" s="1">
        <f>IF($A104&lt;&gt;"",SUMIF(RESULT!D:D,members!$A104,RESULT!K:K),"")</f>
        <v>0</v>
      </c>
      <c r="K104" s="5">
        <v>0.0</v>
      </c>
      <c r="L104" s="1" t="s">
        <v>33</v>
      </c>
    </row>
    <row r="105" ht="15.75" customHeight="1">
      <c r="A105" s="1" t="s">
        <v>682</v>
      </c>
      <c r="B105" s="1">
        <v>104.0</v>
      </c>
      <c r="C105" s="1" t="s">
        <v>352</v>
      </c>
      <c r="D105" s="2">
        <v>46224.0</v>
      </c>
      <c r="E105" s="1" t="s">
        <v>33</v>
      </c>
      <c r="F105" s="1" t="s">
        <v>353</v>
      </c>
      <c r="G105" s="1">
        <f>IF(A105&lt;&gt;"",SUMIF(RESULT!D:D,members!A105,RESULT!I:I),"")</f>
        <v>0</v>
      </c>
      <c r="H105" s="1" t="s">
        <v>95</v>
      </c>
      <c r="I105" s="1">
        <f>IF($A105&lt;&gt;"",SUMIF(RESULT!D:D,members!$A105,RESULT!J:J),"")</f>
        <v>0</v>
      </c>
      <c r="J105" s="1">
        <f>IF($A105&lt;&gt;"",SUMIF(RESULT!D:D,members!$A105,RESULT!K:K),"")</f>
        <v>0</v>
      </c>
      <c r="K105" s="5">
        <v>0.0</v>
      </c>
      <c r="L105" s="1" t="s">
        <v>33</v>
      </c>
    </row>
    <row r="106" ht="15.75" customHeight="1">
      <c r="A106" s="1" t="s">
        <v>591</v>
      </c>
      <c r="B106" s="1">
        <v>105.0</v>
      </c>
      <c r="C106" s="1" t="s">
        <v>369</v>
      </c>
      <c r="D106" s="2">
        <v>46224.0</v>
      </c>
      <c r="E106" s="1" t="s">
        <v>33</v>
      </c>
      <c r="F106" s="1" t="s">
        <v>370</v>
      </c>
      <c r="G106" s="1">
        <f>IF(A106&lt;&gt;"",SUMIF(RESULT!D:D,members!A106,RESULT!I:I),"")</f>
        <v>22</v>
      </c>
      <c r="H106" s="1" t="s">
        <v>95</v>
      </c>
      <c r="I106" s="1">
        <f>IF($A106&lt;&gt;"",SUMIF(RESULT!D:D,members!$A106,RESULT!J:J),"")</f>
        <v>3</v>
      </c>
      <c r="J106" s="1">
        <f>IF($A106&lt;&gt;"",SUMIF(RESULT!D:D,members!$A106,RESULT!K:K),"")</f>
        <v>2</v>
      </c>
      <c r="K106" s="5">
        <v>0.0</v>
      </c>
      <c r="L106" s="1" t="s">
        <v>33</v>
      </c>
    </row>
    <row r="107" ht="15.75" customHeight="1">
      <c r="A107" s="1" t="s">
        <v>683</v>
      </c>
      <c r="B107" s="1">
        <v>71.0</v>
      </c>
      <c r="C107" s="1" t="s">
        <v>374</v>
      </c>
      <c r="D107" s="2">
        <v>46225.0</v>
      </c>
      <c r="E107" s="1" t="s">
        <v>33</v>
      </c>
      <c r="F107" s="1" t="s">
        <v>375</v>
      </c>
      <c r="G107" s="1">
        <f>IF(A107&lt;&gt;"",SUMIF(RESULT!D:D,members!A107,RESULT!I:I),"")</f>
        <v>0</v>
      </c>
      <c r="H107" s="1" t="s">
        <v>95</v>
      </c>
      <c r="I107" s="1">
        <f>IF($A107&lt;&gt;"",SUMIF(RESULT!D:D,members!$A107,RESULT!J:J),"")</f>
        <v>0</v>
      </c>
      <c r="J107" s="1">
        <f>IF($A107&lt;&gt;"",SUMIF(RESULT!D:D,members!$A107,RESULT!K:K),"")</f>
        <v>0</v>
      </c>
      <c r="K107" s="5">
        <v>0.0</v>
      </c>
      <c r="L107" s="1" t="s">
        <v>33</v>
      </c>
    </row>
    <row r="108" ht="15.75" customHeight="1">
      <c r="A108" s="1" t="s">
        <v>684</v>
      </c>
      <c r="B108" s="1">
        <v>73.0</v>
      </c>
      <c r="C108" s="1" t="s">
        <v>385</v>
      </c>
      <c r="D108" s="2">
        <v>46227.0</v>
      </c>
      <c r="E108" s="1" t="s">
        <v>33</v>
      </c>
      <c r="F108" s="1" t="s">
        <v>386</v>
      </c>
      <c r="G108" s="1">
        <f>IF(A108&lt;&gt;"",SUMIF(RESULT!D:D,members!A108,RESULT!I:I),"")</f>
        <v>0</v>
      </c>
      <c r="H108" s="1" t="s">
        <v>95</v>
      </c>
      <c r="I108" s="1">
        <f>IF($A108&lt;&gt;"",SUMIF(RESULT!D:D,members!$A108,RESULT!J:J),"")</f>
        <v>0</v>
      </c>
      <c r="J108" s="1">
        <f>IF($A108&lt;&gt;"",SUMIF(RESULT!D:D,members!$A108,RESULT!K:K),"")</f>
        <v>0</v>
      </c>
      <c r="K108" s="5">
        <v>0.0</v>
      </c>
      <c r="L108" s="1" t="s">
        <v>33</v>
      </c>
    </row>
    <row r="109" ht="15.75" customHeight="1">
      <c r="A109" s="1" t="s">
        <v>685</v>
      </c>
      <c r="B109" s="1">
        <v>74.0</v>
      </c>
      <c r="C109" s="1" t="s">
        <v>390</v>
      </c>
      <c r="D109" s="2">
        <v>46228.0</v>
      </c>
      <c r="E109" s="1" t="s">
        <v>33</v>
      </c>
      <c r="F109" s="1" t="s">
        <v>391</v>
      </c>
      <c r="G109" s="1">
        <f>IF(A109&lt;&gt;"",SUMIF(RESULT!D:D,members!A109,RESULT!I:I),"")</f>
        <v>0</v>
      </c>
      <c r="H109" s="1" t="s">
        <v>95</v>
      </c>
      <c r="I109" s="1">
        <f>IF($A109&lt;&gt;"",SUMIF(RESULT!D:D,members!$A109,RESULT!J:J),"")</f>
        <v>0</v>
      </c>
      <c r="J109" s="1">
        <f>IF($A109&lt;&gt;"",SUMIF(RESULT!D:D,members!$A109,RESULT!K:K),"")</f>
        <v>0</v>
      </c>
      <c r="K109" s="5">
        <v>0.0</v>
      </c>
      <c r="L109" s="1" t="s">
        <v>33</v>
      </c>
    </row>
    <row r="110" ht="15.75" customHeight="1">
      <c r="A110" s="1" t="s">
        <v>655</v>
      </c>
      <c r="B110" s="1">
        <v>103.0</v>
      </c>
      <c r="C110" s="1" t="s">
        <v>546</v>
      </c>
      <c r="D110" s="2">
        <v>46237.0</v>
      </c>
      <c r="E110" s="1" t="s">
        <v>33</v>
      </c>
      <c r="F110" s="1" t="s">
        <v>547</v>
      </c>
      <c r="G110" s="1">
        <f>IF(A110&lt;&gt;"",SUMIF(RESULT!D:D,members!A110,RESULT!I:I),"")</f>
        <v>12</v>
      </c>
      <c r="H110" s="1" t="s">
        <v>95</v>
      </c>
      <c r="I110" s="1">
        <f>IF($A110&lt;&gt;"",SUMIF(RESULT!D:D,members!$A110,RESULT!J:J),"")</f>
        <v>3</v>
      </c>
      <c r="J110" s="1">
        <f>IF($A110&lt;&gt;"",SUMIF(RESULT!D:D,members!$A110,RESULT!K:K),"")</f>
        <v>5</v>
      </c>
      <c r="K110" s="5">
        <f t="shared" ref="K110:K112" si="4">I110/(I110+J110)*100</f>
        <v>37.5</v>
      </c>
      <c r="L110" s="1" t="s">
        <v>33</v>
      </c>
    </row>
    <row r="111" ht="15.75" customHeight="1">
      <c r="A111" s="1" t="s">
        <v>656</v>
      </c>
      <c r="B111" s="1">
        <v>104.0</v>
      </c>
      <c r="C111" s="1" t="s">
        <v>551</v>
      </c>
      <c r="D111" s="2">
        <v>46237.0</v>
      </c>
      <c r="E111" s="1" t="s">
        <v>33</v>
      </c>
      <c r="F111" s="1" t="s">
        <v>552</v>
      </c>
      <c r="G111" s="1">
        <f>IF(A111&lt;&gt;"",SUMIF(RESULT!D:D,members!A111,RESULT!I:I),"")</f>
        <v>14</v>
      </c>
      <c r="H111" s="1" t="s">
        <v>95</v>
      </c>
      <c r="I111" s="1">
        <f>IF($A111&lt;&gt;"",SUMIF(RESULT!D:D,members!$A111,RESULT!J:J),"")</f>
        <v>3</v>
      </c>
      <c r="J111" s="1">
        <f>IF($A111&lt;&gt;"",SUMIF(RESULT!D:D,members!$A111,RESULT!K:K),"")</f>
        <v>5</v>
      </c>
      <c r="K111" s="5">
        <f t="shared" si="4"/>
        <v>37.5</v>
      </c>
      <c r="L111" s="1" t="s">
        <v>33</v>
      </c>
    </row>
    <row r="112" ht="15.75" customHeight="1">
      <c r="A112" s="1" t="s">
        <v>659</v>
      </c>
      <c r="B112" s="1">
        <v>105.0</v>
      </c>
      <c r="C112" s="1" t="s">
        <v>556</v>
      </c>
      <c r="D112" s="2">
        <v>46238.0</v>
      </c>
      <c r="E112" s="1" t="s">
        <v>33</v>
      </c>
      <c r="F112" s="1" t="s">
        <v>557</v>
      </c>
      <c r="G112" s="1">
        <f>IF(A112&lt;&gt;"",SUMIF(RESULT!D:D,members!A112,RESULT!I:I),"")</f>
        <v>14</v>
      </c>
      <c r="H112" s="1" t="s">
        <v>95</v>
      </c>
      <c r="I112" s="1">
        <f>IF($A112&lt;&gt;"",SUMIF(RESULT!D:D,members!$A112,RESULT!J:J),"")</f>
        <v>0</v>
      </c>
      <c r="J112" s="1">
        <f>IF($A112&lt;&gt;"",SUMIF(RESULT!D:D,members!$A112,RESULT!K:K),"")</f>
        <v>5</v>
      </c>
      <c r="K112" s="5">
        <f t="shared" si="4"/>
        <v>0</v>
      </c>
      <c r="L112" s="1" t="s">
        <v>33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29"/>
    <col customWidth="1" min="3" max="3" width="14.86"/>
    <col customWidth="1" min="4" max="4" width="15.86"/>
    <col customWidth="1" min="5" max="6" width="8.0"/>
    <col customWidth="1" min="7" max="7" width="15.71"/>
    <col customWidth="1" min="8" max="8" width="15.57"/>
    <col customWidth="1" min="9" max="26" width="8.0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13</v>
      </c>
      <c r="H1" s="1" t="s">
        <v>14</v>
      </c>
      <c r="I1" s="1" t="s">
        <v>16</v>
      </c>
      <c r="J1" s="1" t="s">
        <v>19</v>
      </c>
    </row>
    <row r="2">
      <c r="A2" s="1">
        <v>1.0</v>
      </c>
      <c r="B2" s="1" t="s">
        <v>25</v>
      </c>
      <c r="C2" s="1" t="s">
        <v>28</v>
      </c>
      <c r="D2" s="1" t="s">
        <v>31</v>
      </c>
      <c r="E2" s="1">
        <v>1.08458542719067E20</v>
      </c>
      <c r="F2" s="1" t="s">
        <v>33</v>
      </c>
      <c r="G2" s="1" t="s">
        <v>35</v>
      </c>
      <c r="H2" s="1" t="s">
        <v>36</v>
      </c>
      <c r="I2" s="3">
        <v>46217.70554398148</v>
      </c>
      <c r="J2" s="3">
        <v>46219.46409722222</v>
      </c>
    </row>
    <row r="3">
      <c r="A3" s="1">
        <v>2.0</v>
      </c>
      <c r="B3" s="1" t="s">
        <v>40</v>
      </c>
      <c r="C3" s="1" t="s">
        <v>41</v>
      </c>
      <c r="D3" s="1" t="s">
        <v>42</v>
      </c>
      <c r="E3" s="1">
        <v>1.15209864393904E20</v>
      </c>
      <c r="F3" s="1" t="s">
        <v>33</v>
      </c>
      <c r="G3" s="1" t="s">
        <v>43</v>
      </c>
      <c r="H3" s="1" t="s">
        <v>44</v>
      </c>
      <c r="I3" s="3">
        <v>46217.70554398148</v>
      </c>
      <c r="J3" s="3">
        <v>46219.15236111111</v>
      </c>
    </row>
    <row r="4">
      <c r="A4" s="1">
        <v>3.0</v>
      </c>
      <c r="B4" s="1" t="s">
        <v>45</v>
      </c>
      <c r="C4" s="1" t="s">
        <v>46</v>
      </c>
      <c r="D4" s="1" t="s">
        <v>47</v>
      </c>
      <c r="E4" s="1">
        <v>1.06875771831018E20</v>
      </c>
      <c r="F4" s="1" t="s">
        <v>33</v>
      </c>
      <c r="G4" s="1" t="s">
        <v>48</v>
      </c>
      <c r="H4" s="1" t="s">
        <v>49</v>
      </c>
      <c r="I4" s="3">
        <v>46217.70554398148</v>
      </c>
      <c r="J4" s="3">
        <v>46219.60199074074</v>
      </c>
    </row>
    <row r="5">
      <c r="A5" s="1">
        <v>4.0</v>
      </c>
      <c r="B5" s="1" t="s">
        <v>50</v>
      </c>
      <c r="C5" s="1" t="s">
        <v>51</v>
      </c>
      <c r="D5" s="1" t="s">
        <v>33</v>
      </c>
      <c r="E5" s="1" t="s">
        <v>33</v>
      </c>
      <c r="F5" s="1" t="s">
        <v>33</v>
      </c>
      <c r="G5" s="1" t="s">
        <v>52</v>
      </c>
      <c r="H5" s="1" t="s">
        <v>33</v>
      </c>
      <c r="I5" s="3">
        <v>46217.70554398148</v>
      </c>
      <c r="J5" s="3">
        <v>46217.70554398148</v>
      </c>
    </row>
    <row r="6">
      <c r="A6" s="1">
        <v>5.0</v>
      </c>
      <c r="B6" s="1" t="s">
        <v>55</v>
      </c>
      <c r="C6" s="1" t="s">
        <v>56</v>
      </c>
      <c r="D6" s="1" t="s">
        <v>57</v>
      </c>
      <c r="E6" s="1">
        <v>1.05822526328501E20</v>
      </c>
      <c r="F6" s="1" t="s">
        <v>33</v>
      </c>
      <c r="G6" s="1" t="s">
        <v>58</v>
      </c>
      <c r="H6" s="1" t="s">
        <v>59</v>
      </c>
      <c r="I6" s="3">
        <v>46217.70554398148</v>
      </c>
      <c r="J6" s="3">
        <v>46219.12771990741</v>
      </c>
    </row>
    <row r="7">
      <c r="A7" s="1">
        <v>6.0</v>
      </c>
      <c r="B7" s="1" t="s">
        <v>61</v>
      </c>
      <c r="C7" s="1" t="s">
        <v>63</v>
      </c>
      <c r="D7" s="1" t="s">
        <v>65</v>
      </c>
      <c r="E7" s="1">
        <v>1.16024165038099E20</v>
      </c>
      <c r="F7" s="1" t="s">
        <v>33</v>
      </c>
      <c r="G7" s="1" t="s">
        <v>66</v>
      </c>
      <c r="H7" s="1" t="s">
        <v>67</v>
      </c>
      <c r="I7" s="3">
        <v>46217.705555555556</v>
      </c>
      <c r="J7" s="3">
        <v>46234.52177083334</v>
      </c>
    </row>
    <row r="8">
      <c r="A8" s="1">
        <v>7.0</v>
      </c>
      <c r="B8" s="1" t="s">
        <v>68</v>
      </c>
      <c r="C8" s="1" t="s">
        <v>69</v>
      </c>
      <c r="D8" s="1" t="s">
        <v>33</v>
      </c>
      <c r="E8" s="1" t="s">
        <v>33</v>
      </c>
      <c r="F8" s="1" t="s">
        <v>33</v>
      </c>
      <c r="G8" s="1" t="s">
        <v>70</v>
      </c>
      <c r="H8" s="1" t="s">
        <v>33</v>
      </c>
      <c r="I8" s="3">
        <v>46217.705555555556</v>
      </c>
      <c r="J8" s="3">
        <v>46217.705555555556</v>
      </c>
    </row>
    <row r="9">
      <c r="A9" s="1">
        <v>8.0</v>
      </c>
      <c r="B9" s="1" t="s">
        <v>72</v>
      </c>
      <c r="C9" s="1" t="s">
        <v>73</v>
      </c>
      <c r="D9" s="1" t="s">
        <v>33</v>
      </c>
      <c r="E9" s="1" t="s">
        <v>33</v>
      </c>
      <c r="F9" s="1" t="s">
        <v>33</v>
      </c>
      <c r="G9" s="1" t="s">
        <v>74</v>
      </c>
      <c r="H9" s="1" t="s">
        <v>33</v>
      </c>
      <c r="I9" s="3">
        <v>46217.705555555556</v>
      </c>
      <c r="J9" s="3">
        <v>46217.705555555556</v>
      </c>
    </row>
    <row r="10">
      <c r="A10" s="1">
        <v>9.0</v>
      </c>
      <c r="B10" s="1" t="s">
        <v>75</v>
      </c>
      <c r="C10" s="1" t="s">
        <v>76</v>
      </c>
      <c r="D10" s="1" t="s">
        <v>77</v>
      </c>
      <c r="E10" s="1">
        <v>1.00863842843562E20</v>
      </c>
      <c r="F10" s="1" t="s">
        <v>33</v>
      </c>
      <c r="G10" s="1" t="s">
        <v>78</v>
      </c>
      <c r="H10" s="1" t="s">
        <v>79</v>
      </c>
      <c r="I10" s="3">
        <v>46217.705555555556</v>
      </c>
      <c r="J10" s="3">
        <v>46220.45371527778</v>
      </c>
    </row>
    <row r="11">
      <c r="A11" s="1">
        <v>10.0</v>
      </c>
      <c r="B11" s="1" t="s">
        <v>80</v>
      </c>
      <c r="C11" s="1" t="s">
        <v>81</v>
      </c>
      <c r="D11" s="1" t="s">
        <v>33</v>
      </c>
      <c r="E11" s="1" t="s">
        <v>33</v>
      </c>
      <c r="F11" s="1" t="s">
        <v>33</v>
      </c>
      <c r="G11" s="1" t="s">
        <v>83</v>
      </c>
      <c r="H11" s="1" t="s">
        <v>33</v>
      </c>
      <c r="I11" s="3">
        <v>46217.705555555556</v>
      </c>
      <c r="J11" s="3">
        <v>46217.705555555556</v>
      </c>
    </row>
    <row r="12">
      <c r="A12" s="1">
        <v>11.0</v>
      </c>
      <c r="B12" s="1" t="s">
        <v>84</v>
      </c>
      <c r="C12" s="1" t="s">
        <v>85</v>
      </c>
      <c r="D12" s="1" t="s">
        <v>33</v>
      </c>
      <c r="E12" s="1" t="s">
        <v>33</v>
      </c>
      <c r="F12" s="1" t="s">
        <v>33</v>
      </c>
      <c r="G12" s="1" t="s">
        <v>86</v>
      </c>
      <c r="H12" s="1" t="s">
        <v>33</v>
      </c>
      <c r="I12" s="3">
        <v>46217.705555555556</v>
      </c>
      <c r="J12" s="3">
        <v>46217.705555555556</v>
      </c>
    </row>
    <row r="13">
      <c r="A13" s="1">
        <v>12.0</v>
      </c>
      <c r="B13" s="1" t="s">
        <v>87</v>
      </c>
      <c r="C13" s="1" t="s">
        <v>88</v>
      </c>
      <c r="D13" s="1" t="s">
        <v>33</v>
      </c>
      <c r="E13" s="1" t="s">
        <v>33</v>
      </c>
      <c r="F13" s="1" t="s">
        <v>33</v>
      </c>
      <c r="G13" s="1" t="s">
        <v>91</v>
      </c>
      <c r="H13" s="1" t="s">
        <v>33</v>
      </c>
      <c r="I13" s="3">
        <v>46217.70556712963</v>
      </c>
      <c r="J13" s="3">
        <v>46217.70556712963</v>
      </c>
    </row>
    <row r="14">
      <c r="A14" s="1">
        <v>13.0</v>
      </c>
      <c r="B14" s="1" t="s">
        <v>92</v>
      </c>
      <c r="C14" s="1" t="s">
        <v>93</v>
      </c>
      <c r="D14" s="1" t="s">
        <v>33</v>
      </c>
      <c r="E14" s="1" t="s">
        <v>33</v>
      </c>
      <c r="F14" s="1" t="s">
        <v>33</v>
      </c>
      <c r="G14" s="1" t="s">
        <v>94</v>
      </c>
      <c r="H14" s="1" t="s">
        <v>33</v>
      </c>
      <c r="I14" s="3">
        <v>46217.70556712963</v>
      </c>
      <c r="J14" s="3">
        <v>46217.70556712963</v>
      </c>
    </row>
    <row r="15">
      <c r="A15" s="1">
        <v>14.0</v>
      </c>
      <c r="B15" s="1" t="s">
        <v>96</v>
      </c>
      <c r="C15" s="1" t="s">
        <v>98</v>
      </c>
      <c r="D15" s="1" t="s">
        <v>33</v>
      </c>
      <c r="E15" s="1" t="s">
        <v>33</v>
      </c>
      <c r="F15" s="1" t="s">
        <v>33</v>
      </c>
      <c r="G15" s="1" t="s">
        <v>99</v>
      </c>
      <c r="H15" s="1" t="s">
        <v>33</v>
      </c>
      <c r="I15" s="3">
        <v>46217.70556712963</v>
      </c>
      <c r="J15" s="3">
        <v>46217.70556712963</v>
      </c>
    </row>
    <row r="16">
      <c r="A16" s="1">
        <v>15.0</v>
      </c>
      <c r="B16" s="1" t="s">
        <v>100</v>
      </c>
      <c r="C16" s="1" t="s">
        <v>101</v>
      </c>
      <c r="D16" s="1" t="s">
        <v>33</v>
      </c>
      <c r="E16" s="1" t="s">
        <v>33</v>
      </c>
      <c r="F16" s="1" t="s">
        <v>33</v>
      </c>
      <c r="G16" s="1" t="s">
        <v>102</v>
      </c>
      <c r="H16" s="1" t="s">
        <v>33</v>
      </c>
      <c r="I16" s="3">
        <v>46217.70556712963</v>
      </c>
      <c r="J16" s="3">
        <v>46217.70556712963</v>
      </c>
    </row>
    <row r="17">
      <c r="A17" s="1">
        <v>16.0</v>
      </c>
      <c r="B17" s="1" t="s">
        <v>103</v>
      </c>
      <c r="C17" s="1" t="s">
        <v>104</v>
      </c>
      <c r="D17" s="1" t="s">
        <v>33</v>
      </c>
      <c r="E17" s="1" t="s">
        <v>33</v>
      </c>
      <c r="F17" s="1" t="s">
        <v>33</v>
      </c>
      <c r="G17" s="1" t="s">
        <v>106</v>
      </c>
      <c r="H17" s="1" t="s">
        <v>33</v>
      </c>
      <c r="I17" s="3">
        <v>46217.70556712963</v>
      </c>
      <c r="J17" s="3">
        <v>46217.70556712963</v>
      </c>
    </row>
    <row r="18">
      <c r="A18" s="1">
        <v>17.0</v>
      </c>
      <c r="B18" s="1" t="s">
        <v>108</v>
      </c>
      <c r="C18" s="1" t="s">
        <v>109</v>
      </c>
      <c r="D18" s="1" t="s">
        <v>110</v>
      </c>
      <c r="E18" s="1">
        <v>1.09443799890061E20</v>
      </c>
      <c r="F18" s="1" t="s">
        <v>33</v>
      </c>
      <c r="G18" s="1" t="s">
        <v>112</v>
      </c>
      <c r="H18" s="1" t="s">
        <v>113</v>
      </c>
      <c r="I18" s="3">
        <v>46217.7055787037</v>
      </c>
      <c r="J18" s="3">
        <v>46222.219988425924</v>
      </c>
    </row>
    <row r="19">
      <c r="A19" s="1">
        <v>18.0</v>
      </c>
      <c r="B19" s="1" t="s">
        <v>114</v>
      </c>
      <c r="C19" s="1" t="s">
        <v>115</v>
      </c>
      <c r="D19" s="1" t="s">
        <v>33</v>
      </c>
      <c r="E19" s="1" t="s">
        <v>33</v>
      </c>
      <c r="F19" s="1" t="s">
        <v>33</v>
      </c>
      <c r="G19" s="1" t="s">
        <v>116</v>
      </c>
      <c r="H19" s="1" t="s">
        <v>33</v>
      </c>
      <c r="I19" s="3">
        <v>46217.7055787037</v>
      </c>
      <c r="J19" s="3">
        <v>46217.7055787037</v>
      </c>
    </row>
    <row r="20">
      <c r="A20" s="1">
        <v>19.0</v>
      </c>
      <c r="B20" s="1" t="s">
        <v>117</v>
      </c>
      <c r="C20" s="1" t="s">
        <v>118</v>
      </c>
      <c r="D20" s="1" t="s">
        <v>33</v>
      </c>
      <c r="E20" s="1" t="s">
        <v>33</v>
      </c>
      <c r="F20" s="1" t="s">
        <v>33</v>
      </c>
      <c r="G20" s="1" t="s">
        <v>119</v>
      </c>
      <c r="H20" s="1" t="s">
        <v>33</v>
      </c>
      <c r="I20" s="3">
        <v>46217.7055787037</v>
      </c>
      <c r="J20" s="3">
        <v>46217.7055787037</v>
      </c>
    </row>
    <row r="21" ht="15.75" customHeight="1">
      <c r="A21" s="1">
        <v>20.0</v>
      </c>
      <c r="B21" s="1" t="s">
        <v>121</v>
      </c>
      <c r="C21" s="1" t="s">
        <v>122</v>
      </c>
      <c r="D21" s="1" t="s">
        <v>33</v>
      </c>
      <c r="E21" s="1" t="s">
        <v>33</v>
      </c>
      <c r="F21" s="1" t="s">
        <v>33</v>
      </c>
      <c r="G21" s="1" t="s">
        <v>123</v>
      </c>
      <c r="H21" s="1" t="s">
        <v>33</v>
      </c>
      <c r="I21" s="3">
        <v>46217.7055787037</v>
      </c>
      <c r="J21" s="3">
        <v>46217.7055787037</v>
      </c>
    </row>
    <row r="22" ht="15.75" customHeight="1">
      <c r="A22" s="1">
        <v>21.0</v>
      </c>
      <c r="B22" s="1" t="s">
        <v>124</v>
      </c>
      <c r="C22" s="1" t="s">
        <v>125</v>
      </c>
      <c r="D22" s="1" t="s">
        <v>127</v>
      </c>
      <c r="E22" s="1">
        <v>1.04002087728812E20</v>
      </c>
      <c r="F22" s="1" t="s">
        <v>33</v>
      </c>
      <c r="G22" s="1" t="s">
        <v>128</v>
      </c>
      <c r="H22" s="1" t="s">
        <v>129</v>
      </c>
      <c r="I22" s="3">
        <v>46217.7055787037</v>
      </c>
      <c r="J22" s="3">
        <v>46219.4627662037</v>
      </c>
    </row>
    <row r="23" ht="15.75" customHeight="1">
      <c r="A23" s="1">
        <v>22.0</v>
      </c>
      <c r="B23" s="1" t="s">
        <v>130</v>
      </c>
      <c r="C23" s="1" t="s">
        <v>131</v>
      </c>
      <c r="D23" s="1" t="s">
        <v>33</v>
      </c>
      <c r="E23" s="1" t="s">
        <v>33</v>
      </c>
      <c r="F23" s="1" t="s">
        <v>33</v>
      </c>
      <c r="G23" s="1" t="s">
        <v>132</v>
      </c>
      <c r="H23" s="1" t="s">
        <v>33</v>
      </c>
      <c r="I23" s="3">
        <v>46217.70559027778</v>
      </c>
      <c r="J23" s="3">
        <v>46217.70559027778</v>
      </c>
    </row>
    <row r="24" ht="15.75" customHeight="1">
      <c r="A24" s="1">
        <v>23.0</v>
      </c>
      <c r="B24" s="1" t="s">
        <v>133</v>
      </c>
      <c r="C24" s="1" t="s">
        <v>134</v>
      </c>
      <c r="D24" s="1" t="s">
        <v>33</v>
      </c>
      <c r="E24" s="1" t="s">
        <v>33</v>
      </c>
      <c r="F24" s="1" t="s">
        <v>33</v>
      </c>
      <c r="G24" s="1" t="s">
        <v>135</v>
      </c>
      <c r="H24" s="1" t="s">
        <v>33</v>
      </c>
      <c r="I24" s="3">
        <v>46217.70559027778</v>
      </c>
      <c r="J24" s="3">
        <v>46217.70559027778</v>
      </c>
    </row>
    <row r="25" ht="15.75" customHeight="1">
      <c r="A25" s="1">
        <v>24.0</v>
      </c>
      <c r="B25" s="1" t="s">
        <v>137</v>
      </c>
      <c r="C25" s="1" t="s">
        <v>138</v>
      </c>
      <c r="D25" s="1" t="s">
        <v>33</v>
      </c>
      <c r="E25" s="1" t="s">
        <v>33</v>
      </c>
      <c r="F25" s="1" t="s">
        <v>33</v>
      </c>
      <c r="G25" s="1" t="s">
        <v>139</v>
      </c>
      <c r="H25" s="1" t="s">
        <v>33</v>
      </c>
      <c r="I25" s="3">
        <v>46217.70559027778</v>
      </c>
      <c r="J25" s="3">
        <v>46217.70559027778</v>
      </c>
    </row>
    <row r="26" ht="15.75" customHeight="1">
      <c r="A26" s="1">
        <v>25.0</v>
      </c>
      <c r="B26" s="1" t="s">
        <v>140</v>
      </c>
      <c r="C26" s="1" t="s">
        <v>141</v>
      </c>
      <c r="D26" s="1" t="s">
        <v>33</v>
      </c>
      <c r="E26" s="1" t="s">
        <v>33</v>
      </c>
      <c r="F26" s="1" t="s">
        <v>33</v>
      </c>
      <c r="G26" s="1" t="s">
        <v>142</v>
      </c>
      <c r="H26" s="1" t="s">
        <v>33</v>
      </c>
      <c r="I26" s="3">
        <v>46217.70559027778</v>
      </c>
      <c r="J26" s="3">
        <v>46217.70559027778</v>
      </c>
    </row>
    <row r="27" ht="15.75" customHeight="1">
      <c r="A27" s="1">
        <v>26.0</v>
      </c>
      <c r="B27" s="1" t="s">
        <v>143</v>
      </c>
      <c r="C27" s="1" t="s">
        <v>144</v>
      </c>
      <c r="D27" s="1" t="s">
        <v>145</v>
      </c>
      <c r="E27" s="1">
        <v>1.06969785483983E20</v>
      </c>
      <c r="F27" s="1" t="s">
        <v>33</v>
      </c>
      <c r="G27" s="1" t="s">
        <v>147</v>
      </c>
      <c r="H27" s="1" t="s">
        <v>148</v>
      </c>
      <c r="I27" s="3">
        <v>46217.70559027778</v>
      </c>
      <c r="J27" s="3">
        <v>46220.45502314815</v>
      </c>
    </row>
    <row r="28" ht="15.75" customHeight="1">
      <c r="A28" s="1">
        <v>27.0</v>
      </c>
      <c r="B28" s="1" t="s">
        <v>149</v>
      </c>
      <c r="C28" s="1" t="s">
        <v>150</v>
      </c>
      <c r="D28" s="1" t="s">
        <v>33</v>
      </c>
      <c r="E28" s="1" t="s">
        <v>33</v>
      </c>
      <c r="F28" s="1" t="s">
        <v>33</v>
      </c>
      <c r="G28" s="1" t="s">
        <v>151</v>
      </c>
      <c r="H28" s="1" t="s">
        <v>33</v>
      </c>
      <c r="I28" s="3">
        <v>46217.70560185185</v>
      </c>
      <c r="J28" s="3">
        <v>46217.70560185185</v>
      </c>
    </row>
    <row r="29" ht="15.75" customHeight="1">
      <c r="A29" s="1">
        <v>28.0</v>
      </c>
      <c r="B29" s="1" t="s">
        <v>153</v>
      </c>
      <c r="C29" s="1" t="s">
        <v>154</v>
      </c>
      <c r="D29" s="1" t="s">
        <v>155</v>
      </c>
      <c r="E29" s="1">
        <v>1.13924380662826E20</v>
      </c>
      <c r="F29" s="1" t="s">
        <v>33</v>
      </c>
      <c r="G29" s="1" t="s">
        <v>156</v>
      </c>
      <c r="H29" s="1" t="s">
        <v>157</v>
      </c>
      <c r="I29" s="3">
        <v>46217.70560185185</v>
      </c>
      <c r="J29" s="3">
        <v>46219.454884259256</v>
      </c>
    </row>
    <row r="30" ht="15.75" customHeight="1">
      <c r="A30" s="1">
        <v>29.0</v>
      </c>
      <c r="B30" s="1" t="s">
        <v>159</v>
      </c>
      <c r="C30" s="1" t="s">
        <v>160</v>
      </c>
      <c r="D30" s="1" t="s">
        <v>161</v>
      </c>
      <c r="E30" s="1">
        <v>1.11581030420645E20</v>
      </c>
      <c r="F30" s="1" t="s">
        <v>33</v>
      </c>
      <c r="G30" s="1" t="s">
        <v>162</v>
      </c>
      <c r="H30" s="1" t="s">
        <v>163</v>
      </c>
      <c r="I30" s="3">
        <v>46217.70560185185</v>
      </c>
      <c r="J30" s="3">
        <v>46225.18130787037</v>
      </c>
    </row>
    <row r="31" ht="15.75" customHeight="1">
      <c r="A31" s="1">
        <v>30.0</v>
      </c>
      <c r="B31" s="1" t="s">
        <v>164</v>
      </c>
      <c r="C31" s="1" t="s">
        <v>165</v>
      </c>
      <c r="D31" s="1" t="s">
        <v>33</v>
      </c>
      <c r="E31" s="1" t="s">
        <v>33</v>
      </c>
      <c r="F31" s="1" t="s">
        <v>33</v>
      </c>
      <c r="G31" s="1" t="s">
        <v>166</v>
      </c>
      <c r="H31" s="1" t="s">
        <v>33</v>
      </c>
      <c r="I31" s="3">
        <v>46217.70560185185</v>
      </c>
      <c r="J31" s="3">
        <v>46217.70560185185</v>
      </c>
    </row>
    <row r="32" ht="15.75" customHeight="1">
      <c r="A32" s="1">
        <v>31.0</v>
      </c>
      <c r="B32" s="1" t="s">
        <v>168</v>
      </c>
      <c r="C32" s="1" t="s">
        <v>169</v>
      </c>
      <c r="D32" s="1" t="s">
        <v>170</v>
      </c>
      <c r="E32" s="1">
        <v>1.01782183068216E20</v>
      </c>
      <c r="F32" s="1" t="s">
        <v>33</v>
      </c>
      <c r="G32" s="1" t="s">
        <v>171</v>
      </c>
      <c r="H32" s="1" t="s">
        <v>172</v>
      </c>
      <c r="I32" s="3">
        <v>46217.70560185185</v>
      </c>
      <c r="J32" s="3">
        <v>46219.450104166666</v>
      </c>
    </row>
    <row r="33" ht="15.75" customHeight="1">
      <c r="A33" s="1">
        <v>32.0</v>
      </c>
      <c r="B33" s="1" t="s">
        <v>173</v>
      </c>
      <c r="C33" s="1" t="s">
        <v>174</v>
      </c>
      <c r="D33" s="1" t="s">
        <v>175</v>
      </c>
      <c r="E33" s="1">
        <v>1.06271697651751E20</v>
      </c>
      <c r="F33" s="1" t="s">
        <v>33</v>
      </c>
      <c r="G33" s="1" t="s">
        <v>176</v>
      </c>
      <c r="H33" s="1" t="s">
        <v>177</v>
      </c>
      <c r="I33" s="3">
        <v>46217.705613425926</v>
      </c>
      <c r="J33" s="3">
        <v>46219.45607638889</v>
      </c>
    </row>
    <row r="34" ht="15.75" customHeight="1">
      <c r="A34" s="1">
        <v>33.0</v>
      </c>
      <c r="B34" s="1" t="s">
        <v>179</v>
      </c>
      <c r="C34" s="1" t="s">
        <v>180</v>
      </c>
      <c r="D34" s="1" t="s">
        <v>181</v>
      </c>
      <c r="E34" s="1">
        <v>1.07919940816343E20</v>
      </c>
      <c r="F34" s="1" t="s">
        <v>33</v>
      </c>
      <c r="G34" s="1" t="s">
        <v>182</v>
      </c>
      <c r="H34" s="1" t="s">
        <v>183</v>
      </c>
      <c r="I34" s="3">
        <v>46217.705613425926</v>
      </c>
      <c r="J34" s="3">
        <v>46224.35673611111</v>
      </c>
    </row>
    <row r="35" ht="15.75" customHeight="1">
      <c r="A35" s="1">
        <v>34.0</v>
      </c>
      <c r="B35" s="1" t="s">
        <v>184</v>
      </c>
      <c r="C35" s="1" t="s">
        <v>185</v>
      </c>
      <c r="D35" s="1" t="s">
        <v>33</v>
      </c>
      <c r="E35" s="1" t="s">
        <v>33</v>
      </c>
      <c r="F35" s="1" t="s">
        <v>33</v>
      </c>
      <c r="G35" s="1" t="s">
        <v>186</v>
      </c>
      <c r="H35" s="1" t="s">
        <v>33</v>
      </c>
      <c r="I35" s="3">
        <v>46217.705613425926</v>
      </c>
      <c r="J35" s="3">
        <v>46217.705613425926</v>
      </c>
    </row>
    <row r="36" ht="15.75" customHeight="1">
      <c r="A36" s="1">
        <v>35.0</v>
      </c>
      <c r="B36" s="1" t="s">
        <v>187</v>
      </c>
      <c r="C36" s="1" t="s">
        <v>188</v>
      </c>
      <c r="D36" s="1" t="s">
        <v>33</v>
      </c>
      <c r="E36" s="1" t="s">
        <v>33</v>
      </c>
      <c r="F36" s="1" t="s">
        <v>33</v>
      </c>
      <c r="G36" s="1" t="s">
        <v>190</v>
      </c>
      <c r="H36" s="1" t="s">
        <v>33</v>
      </c>
      <c r="I36" s="3">
        <v>46217.705613425926</v>
      </c>
      <c r="J36" s="3">
        <v>46217.705613425926</v>
      </c>
    </row>
    <row r="37" ht="15.75" customHeight="1">
      <c r="A37" s="1">
        <v>36.0</v>
      </c>
      <c r="B37" s="1" t="s">
        <v>191</v>
      </c>
      <c r="C37" s="1" t="s">
        <v>192</v>
      </c>
      <c r="D37" s="1" t="s">
        <v>193</v>
      </c>
      <c r="E37" s="1">
        <v>1.13229569120838E20</v>
      </c>
      <c r="F37" s="1" t="s">
        <v>33</v>
      </c>
      <c r="G37" s="1" t="s">
        <v>194</v>
      </c>
      <c r="H37" s="1" t="s">
        <v>195</v>
      </c>
      <c r="I37" s="3">
        <v>46217.705613425926</v>
      </c>
      <c r="J37" s="3">
        <v>46222.37357638889</v>
      </c>
    </row>
    <row r="38" ht="15.75" customHeight="1">
      <c r="A38" s="1">
        <v>37.0</v>
      </c>
      <c r="B38" s="1" t="s">
        <v>197</v>
      </c>
      <c r="C38" s="1" t="s">
        <v>198</v>
      </c>
      <c r="D38" s="1" t="s">
        <v>199</v>
      </c>
      <c r="E38" s="1">
        <v>1.14016238869525E20</v>
      </c>
      <c r="F38" s="1" t="s">
        <v>33</v>
      </c>
      <c r="G38" s="1" t="s">
        <v>200</v>
      </c>
      <c r="H38" s="1" t="s">
        <v>201</v>
      </c>
      <c r="I38" s="3">
        <v>46217.705625</v>
      </c>
      <c r="J38" s="3">
        <v>46222.40163194444</v>
      </c>
    </row>
    <row r="39" ht="15.75" customHeight="1">
      <c r="A39" s="1">
        <v>38.0</v>
      </c>
      <c r="B39" s="1" t="s">
        <v>203</v>
      </c>
      <c r="C39" s="1" t="s">
        <v>204</v>
      </c>
      <c r="D39" s="1" t="s">
        <v>205</v>
      </c>
      <c r="E39" s="1">
        <v>1.04230258655951E20</v>
      </c>
      <c r="F39" s="1" t="s">
        <v>33</v>
      </c>
      <c r="G39" s="1" t="s">
        <v>207</v>
      </c>
      <c r="H39" s="1" t="s">
        <v>208</v>
      </c>
      <c r="I39" s="3">
        <v>46217.705625</v>
      </c>
      <c r="J39" s="3">
        <v>46222.29020833333</v>
      </c>
    </row>
    <row r="40" ht="15.75" customHeight="1">
      <c r="A40" s="1">
        <v>39.0</v>
      </c>
      <c r="B40" s="1" t="s">
        <v>209</v>
      </c>
      <c r="C40" s="1" t="s">
        <v>210</v>
      </c>
      <c r="D40" s="1" t="s">
        <v>33</v>
      </c>
      <c r="E40" s="1" t="s">
        <v>33</v>
      </c>
      <c r="F40" s="1" t="s">
        <v>33</v>
      </c>
      <c r="G40" s="1" t="s">
        <v>211</v>
      </c>
      <c r="H40" s="1" t="s">
        <v>33</v>
      </c>
      <c r="I40" s="3">
        <v>46217.705625</v>
      </c>
      <c r="J40" s="3">
        <v>46217.705625</v>
      </c>
    </row>
    <row r="41" ht="15.75" customHeight="1">
      <c r="A41" s="1">
        <v>40.0</v>
      </c>
      <c r="B41" s="1" t="s">
        <v>213</v>
      </c>
      <c r="C41" s="1" t="s">
        <v>214</v>
      </c>
      <c r="D41" s="1" t="s">
        <v>215</v>
      </c>
      <c r="E41" s="1">
        <v>1.07480840844275E20</v>
      </c>
      <c r="F41" s="1" t="s">
        <v>33</v>
      </c>
      <c r="G41" s="1" t="s">
        <v>216</v>
      </c>
      <c r="H41" s="1" t="s">
        <v>217</v>
      </c>
      <c r="I41" s="3">
        <v>46217.705625</v>
      </c>
      <c r="J41" s="3">
        <v>46223.4552662037</v>
      </c>
    </row>
    <row r="42" ht="15.75" customHeight="1">
      <c r="A42" s="1">
        <v>41.0</v>
      </c>
      <c r="B42" s="1" t="s">
        <v>218</v>
      </c>
      <c r="C42" s="1" t="s">
        <v>220</v>
      </c>
      <c r="D42" s="1" t="s">
        <v>221</v>
      </c>
      <c r="E42" s="1">
        <v>1.14157535373189E20</v>
      </c>
      <c r="F42" s="1" t="s">
        <v>33</v>
      </c>
      <c r="G42" s="1" t="s">
        <v>222</v>
      </c>
      <c r="H42" s="1" t="s">
        <v>223</v>
      </c>
      <c r="I42" s="3">
        <v>46217.705625</v>
      </c>
      <c r="J42" s="3">
        <v>46220.53037037037</v>
      </c>
    </row>
    <row r="43" ht="15.75" customHeight="1">
      <c r="A43" s="1">
        <v>42.0</v>
      </c>
      <c r="B43" s="1" t="s">
        <v>225</v>
      </c>
      <c r="C43" s="1" t="s">
        <v>226</v>
      </c>
      <c r="D43" s="1" t="s">
        <v>33</v>
      </c>
      <c r="E43" s="1" t="s">
        <v>33</v>
      </c>
      <c r="F43" s="1" t="s">
        <v>33</v>
      </c>
      <c r="G43" s="1" t="s">
        <v>227</v>
      </c>
      <c r="H43" s="1" t="s">
        <v>33</v>
      </c>
      <c r="I43" s="3">
        <v>46217.70563657407</v>
      </c>
      <c r="J43" s="3">
        <v>46217.70563657407</v>
      </c>
    </row>
    <row r="44" ht="15.75" customHeight="1">
      <c r="A44" s="1">
        <v>43.0</v>
      </c>
      <c r="B44" s="1" t="s">
        <v>228</v>
      </c>
      <c r="C44" s="1" t="s">
        <v>229</v>
      </c>
      <c r="D44" s="1" t="s">
        <v>33</v>
      </c>
      <c r="E44" s="1" t="s">
        <v>33</v>
      </c>
      <c r="F44" s="1" t="s">
        <v>33</v>
      </c>
      <c r="G44" s="1" t="s">
        <v>230</v>
      </c>
      <c r="H44" s="1" t="s">
        <v>33</v>
      </c>
      <c r="I44" s="3">
        <v>46217.70563657407</v>
      </c>
      <c r="J44" s="3">
        <v>46217.70563657407</v>
      </c>
    </row>
    <row r="45" ht="15.75" customHeight="1">
      <c r="A45" s="1">
        <v>44.0</v>
      </c>
      <c r="B45" s="1" t="s">
        <v>231</v>
      </c>
      <c r="C45" s="1" t="s">
        <v>232</v>
      </c>
      <c r="D45" s="1" t="s">
        <v>33</v>
      </c>
      <c r="E45" s="1" t="s">
        <v>33</v>
      </c>
      <c r="F45" s="1" t="s">
        <v>33</v>
      </c>
      <c r="G45" s="1" t="s">
        <v>233</v>
      </c>
      <c r="H45" s="1" t="s">
        <v>33</v>
      </c>
      <c r="I45" s="3">
        <v>46217.70563657407</v>
      </c>
      <c r="J45" s="3">
        <v>46217.70563657407</v>
      </c>
    </row>
    <row r="46" ht="15.75" customHeight="1">
      <c r="A46" s="1">
        <v>45.0</v>
      </c>
      <c r="B46" s="1" t="s">
        <v>234</v>
      </c>
      <c r="C46" s="1" t="s">
        <v>235</v>
      </c>
      <c r="D46" s="1" t="s">
        <v>33</v>
      </c>
      <c r="E46" s="1" t="s">
        <v>33</v>
      </c>
      <c r="F46" s="1" t="s">
        <v>33</v>
      </c>
      <c r="G46" s="1" t="s">
        <v>236</v>
      </c>
      <c r="H46" s="1" t="s">
        <v>33</v>
      </c>
      <c r="I46" s="3">
        <v>46217.70563657407</v>
      </c>
      <c r="J46" s="3">
        <v>46217.70563657407</v>
      </c>
    </row>
    <row r="47" ht="15.75" customHeight="1">
      <c r="A47" s="1">
        <v>46.0</v>
      </c>
      <c r="B47" s="1" t="s">
        <v>237</v>
      </c>
      <c r="C47" s="1" t="s">
        <v>238</v>
      </c>
      <c r="D47" s="1" t="s">
        <v>33</v>
      </c>
      <c r="E47" s="1" t="s">
        <v>33</v>
      </c>
      <c r="F47" s="1" t="s">
        <v>33</v>
      </c>
      <c r="G47" s="1" t="s">
        <v>239</v>
      </c>
      <c r="H47" s="1" t="s">
        <v>33</v>
      </c>
      <c r="I47" s="3">
        <v>46217.70563657407</v>
      </c>
      <c r="J47" s="3">
        <v>46217.70563657407</v>
      </c>
    </row>
    <row r="48" ht="15.75" customHeight="1">
      <c r="A48" s="1">
        <v>47.0</v>
      </c>
      <c r="B48" s="1" t="s">
        <v>240</v>
      </c>
      <c r="C48" s="1" t="s">
        <v>241</v>
      </c>
      <c r="D48" s="1" t="s">
        <v>242</v>
      </c>
      <c r="E48" s="1">
        <v>1.13492456826004E20</v>
      </c>
      <c r="F48" s="1" t="s">
        <v>33</v>
      </c>
      <c r="G48" s="1" t="s">
        <v>243</v>
      </c>
      <c r="H48" s="1" t="s">
        <v>244</v>
      </c>
      <c r="I48" s="3">
        <v>46217.70693287037</v>
      </c>
      <c r="J48" s="3">
        <v>46235.53119212963</v>
      </c>
    </row>
    <row r="49" ht="15.75" customHeight="1">
      <c r="A49" s="1">
        <v>48.0</v>
      </c>
      <c r="B49" s="1" t="s">
        <v>245</v>
      </c>
      <c r="C49" s="1" t="s">
        <v>246</v>
      </c>
      <c r="D49" s="1" t="s">
        <v>247</v>
      </c>
      <c r="E49" s="1">
        <v>1.06768411369552E20</v>
      </c>
      <c r="F49" s="1" t="s">
        <v>33</v>
      </c>
      <c r="G49" s="1" t="s">
        <v>248</v>
      </c>
      <c r="H49" s="1" t="s">
        <v>249</v>
      </c>
      <c r="I49" s="3">
        <v>46218.732256944444</v>
      </c>
      <c r="J49" s="3">
        <v>46218.74774305556</v>
      </c>
    </row>
    <row r="50" ht="15.75" customHeight="1">
      <c r="A50" s="1">
        <v>49.0</v>
      </c>
      <c r="B50" s="1" t="s">
        <v>251</v>
      </c>
      <c r="C50" s="1" t="s">
        <v>253</v>
      </c>
      <c r="D50" s="1" t="s">
        <v>254</v>
      </c>
      <c r="E50" s="1">
        <v>1.03114829740024E20</v>
      </c>
      <c r="F50" s="1" t="s">
        <v>33</v>
      </c>
      <c r="G50" s="1" t="s">
        <v>255</v>
      </c>
      <c r="H50" s="1" t="s">
        <v>256</v>
      </c>
      <c r="I50" s="3">
        <v>46219.45446759259</v>
      </c>
      <c r="J50" s="3">
        <v>46219.45446759259</v>
      </c>
    </row>
    <row r="51" ht="15.75" customHeight="1">
      <c r="A51" s="1">
        <v>50.0</v>
      </c>
      <c r="B51" s="1" t="s">
        <v>258</v>
      </c>
      <c r="C51" s="1" t="s">
        <v>259</v>
      </c>
      <c r="D51" s="1" t="s">
        <v>260</v>
      </c>
      <c r="E51" s="1">
        <v>1.16920552787277E20</v>
      </c>
      <c r="F51" s="1" t="s">
        <v>33</v>
      </c>
      <c r="G51" s="1" t="s">
        <v>261</v>
      </c>
      <c r="H51" s="1" t="s">
        <v>262</v>
      </c>
      <c r="I51" s="3">
        <v>46219.463692129626</v>
      </c>
      <c r="J51" s="3">
        <v>46230.07670138889</v>
      </c>
    </row>
    <row r="52" ht="15.75" customHeight="1">
      <c r="A52" s="1">
        <v>51.0</v>
      </c>
      <c r="B52" s="1" t="s">
        <v>264</v>
      </c>
      <c r="C52" s="1" t="s">
        <v>265</v>
      </c>
      <c r="D52" s="1" t="s">
        <v>266</v>
      </c>
      <c r="E52" s="1">
        <v>1.15521841245824E20</v>
      </c>
      <c r="F52" s="1" t="s">
        <v>33</v>
      </c>
      <c r="G52" s="1" t="s">
        <v>267</v>
      </c>
      <c r="H52" s="1" t="s">
        <v>268</v>
      </c>
      <c r="I52" s="3">
        <v>46220.45408564815</v>
      </c>
      <c r="J52" s="3">
        <v>46220.45408564815</v>
      </c>
    </row>
    <row r="53" ht="15.75" customHeight="1">
      <c r="A53" s="1">
        <v>52.0</v>
      </c>
      <c r="B53" s="1" t="s">
        <v>269</v>
      </c>
      <c r="C53" s="1" t="s">
        <v>270</v>
      </c>
      <c r="D53" s="1" t="s">
        <v>271</v>
      </c>
      <c r="E53" s="1">
        <v>1.1655226965106E20</v>
      </c>
      <c r="F53" s="1" t="s">
        <v>33</v>
      </c>
      <c r="G53" s="1" t="s">
        <v>273</v>
      </c>
      <c r="H53" s="1" t="s">
        <v>274</v>
      </c>
      <c r="I53" s="3">
        <v>46220.45646990741</v>
      </c>
      <c r="J53" s="3">
        <v>46220.48142361111</v>
      </c>
    </row>
    <row r="54" ht="15.75" customHeight="1">
      <c r="A54" s="1">
        <v>53.0</v>
      </c>
      <c r="B54" s="1" t="s">
        <v>275</v>
      </c>
      <c r="C54" s="1" t="s">
        <v>276</v>
      </c>
      <c r="D54" s="1" t="s">
        <v>277</v>
      </c>
      <c r="E54" s="1">
        <v>1.14373002691477E20</v>
      </c>
      <c r="F54" s="1" t="s">
        <v>33</v>
      </c>
      <c r="G54" s="1" t="s">
        <v>279</v>
      </c>
      <c r="H54" s="1" t="s">
        <v>280</v>
      </c>
      <c r="I54" s="3">
        <v>46220.45762731481</v>
      </c>
      <c r="J54" s="3">
        <v>46220.45762731481</v>
      </c>
    </row>
    <row r="55" ht="15.75" customHeight="1">
      <c r="A55" s="1">
        <v>54.0</v>
      </c>
      <c r="B55" s="1" t="s">
        <v>281</v>
      </c>
      <c r="C55" s="1" t="s">
        <v>282</v>
      </c>
      <c r="D55" s="1" t="s">
        <v>283</v>
      </c>
      <c r="E55" s="1">
        <v>1.14979247556305E20</v>
      </c>
      <c r="F55" s="1" t="s">
        <v>33</v>
      </c>
      <c r="G55" s="1" t="s">
        <v>284</v>
      </c>
      <c r="H55" s="1" t="s">
        <v>285</v>
      </c>
      <c r="I55" s="3">
        <v>46220.46497685185</v>
      </c>
      <c r="J55" s="3">
        <v>46232.342256944445</v>
      </c>
    </row>
    <row r="56" ht="15.75" customHeight="1">
      <c r="A56" s="1">
        <v>55.0</v>
      </c>
      <c r="B56" s="1" t="s">
        <v>286</v>
      </c>
      <c r="C56" s="1" t="s">
        <v>287</v>
      </c>
      <c r="D56" s="1" t="s">
        <v>288</v>
      </c>
      <c r="E56" s="1">
        <v>1.1603128165764E20</v>
      </c>
      <c r="F56" s="1" t="s">
        <v>33</v>
      </c>
      <c r="G56" s="1" t="s">
        <v>289</v>
      </c>
      <c r="H56" s="1" t="s">
        <v>290</v>
      </c>
      <c r="I56" s="3">
        <v>46222.214166666665</v>
      </c>
      <c r="J56" s="3">
        <v>46222.52997685185</v>
      </c>
    </row>
    <row r="57" ht="15.75" customHeight="1">
      <c r="A57" s="1">
        <v>56.0</v>
      </c>
      <c r="B57" s="1" t="s">
        <v>291</v>
      </c>
      <c r="C57" s="1" t="s">
        <v>292</v>
      </c>
      <c r="D57" s="1" t="s">
        <v>293</v>
      </c>
      <c r="E57" s="1">
        <v>1.11674142397823E20</v>
      </c>
      <c r="F57" s="1" t="s">
        <v>33</v>
      </c>
      <c r="G57" s="1" t="s">
        <v>294</v>
      </c>
      <c r="H57" s="1" t="s">
        <v>295</v>
      </c>
      <c r="I57" s="3">
        <v>46222.377754629626</v>
      </c>
      <c r="J57" s="3">
        <v>46223.95354166667</v>
      </c>
    </row>
    <row r="58" ht="15.75" customHeight="1">
      <c r="A58" s="1">
        <v>57.0</v>
      </c>
      <c r="B58" s="1" t="s">
        <v>296</v>
      </c>
      <c r="C58" s="1" t="s">
        <v>297</v>
      </c>
      <c r="D58" s="1" t="s">
        <v>298</v>
      </c>
      <c r="E58" s="1">
        <v>1.09764336300209E20</v>
      </c>
      <c r="F58" s="1" t="s">
        <v>33</v>
      </c>
      <c r="G58" s="1" t="s">
        <v>299</v>
      </c>
      <c r="H58" s="1" t="s">
        <v>300</v>
      </c>
      <c r="I58" s="3">
        <v>46223.398206018515</v>
      </c>
      <c r="J58" s="3">
        <v>46223.398206018515</v>
      </c>
    </row>
    <row r="59" ht="15.75" customHeight="1">
      <c r="A59" s="1">
        <v>58.0</v>
      </c>
      <c r="B59" s="1" t="s">
        <v>301</v>
      </c>
      <c r="C59" s="1" t="s">
        <v>302</v>
      </c>
      <c r="D59" s="1" t="s">
        <v>303</v>
      </c>
      <c r="E59" s="1">
        <v>1.07146268010763E20</v>
      </c>
      <c r="F59" s="1" t="s">
        <v>33</v>
      </c>
      <c r="G59" s="1" t="s">
        <v>305</v>
      </c>
      <c r="H59" s="1" t="s">
        <v>306</v>
      </c>
      <c r="I59" s="3">
        <v>46223.40819444445</v>
      </c>
      <c r="J59" s="3">
        <v>46223.40819444445</v>
      </c>
    </row>
    <row r="60" ht="15.75" customHeight="1">
      <c r="A60" s="1">
        <v>59.0</v>
      </c>
      <c r="B60" s="1" t="s">
        <v>307</v>
      </c>
      <c r="C60" s="1" t="s">
        <v>308</v>
      </c>
      <c r="D60" s="1" t="s">
        <v>309</v>
      </c>
      <c r="E60" s="1">
        <v>1.00432668791752E20</v>
      </c>
      <c r="F60" s="1" t="s">
        <v>33</v>
      </c>
      <c r="G60" s="1" t="s">
        <v>310</v>
      </c>
      <c r="H60" s="1" t="s">
        <v>311</v>
      </c>
      <c r="I60" s="3">
        <v>46223.44997685185</v>
      </c>
      <c r="J60" s="3">
        <v>46223.44997685185</v>
      </c>
    </row>
    <row r="61" ht="15.75" customHeight="1">
      <c r="A61" s="1">
        <v>60.0</v>
      </c>
      <c r="B61" s="1" t="s">
        <v>314</v>
      </c>
      <c r="C61" s="1" t="s">
        <v>315</v>
      </c>
      <c r="D61" s="1" t="s">
        <v>316</v>
      </c>
      <c r="E61" s="1">
        <v>1.00878051636615E20</v>
      </c>
      <c r="F61" s="1" t="s">
        <v>33</v>
      </c>
      <c r="G61" s="1" t="s">
        <v>317</v>
      </c>
      <c r="H61" s="1" t="s">
        <v>318</v>
      </c>
      <c r="I61" s="3">
        <v>46223.453101851854</v>
      </c>
      <c r="J61" s="3">
        <v>46223.453101851854</v>
      </c>
    </row>
    <row r="62" ht="15.75" customHeight="1">
      <c r="A62" s="1">
        <v>61.0</v>
      </c>
      <c r="B62" s="1" t="s">
        <v>319</v>
      </c>
      <c r="C62" s="1" t="s">
        <v>321</v>
      </c>
      <c r="D62" s="1" t="s">
        <v>322</v>
      </c>
      <c r="E62" s="1">
        <v>1.16966303945707E20</v>
      </c>
      <c r="F62" s="1" t="s">
        <v>33</v>
      </c>
      <c r="G62" s="1" t="s">
        <v>323</v>
      </c>
      <c r="H62" s="1" t="s">
        <v>324</v>
      </c>
      <c r="I62" s="3">
        <v>46223.470138888886</v>
      </c>
      <c r="J62" s="3">
        <v>46230.08658564815</v>
      </c>
    </row>
    <row r="63" ht="15.75" customHeight="1">
      <c r="A63" s="1">
        <v>62.0</v>
      </c>
      <c r="B63" s="1" t="s">
        <v>325</v>
      </c>
      <c r="C63" s="1" t="s">
        <v>326</v>
      </c>
      <c r="D63" s="1" t="s">
        <v>327</v>
      </c>
      <c r="E63" s="1">
        <v>1.03600236986806E20</v>
      </c>
      <c r="F63" s="1" t="s">
        <v>33</v>
      </c>
      <c r="G63" s="1" t="s">
        <v>328</v>
      </c>
      <c r="H63" s="1" t="s">
        <v>329</v>
      </c>
      <c r="I63" s="3">
        <v>46223.47020833333</v>
      </c>
      <c r="J63" s="3">
        <v>46223.47020833333</v>
      </c>
    </row>
    <row r="64" ht="15.75" customHeight="1">
      <c r="A64" s="1">
        <v>63.0</v>
      </c>
      <c r="B64" s="1" t="s">
        <v>330</v>
      </c>
      <c r="C64" s="1" t="s">
        <v>331</v>
      </c>
      <c r="D64" s="1" t="s">
        <v>332</v>
      </c>
      <c r="E64" s="1">
        <v>1.06252153251343E20</v>
      </c>
      <c r="F64" s="1" t="s">
        <v>33</v>
      </c>
      <c r="G64" s="1" t="s">
        <v>333</v>
      </c>
      <c r="H64" s="1" t="s">
        <v>334</v>
      </c>
      <c r="I64" s="3">
        <v>46223.84311342592</v>
      </c>
      <c r="J64" s="3">
        <v>46223.84311342592</v>
      </c>
    </row>
    <row r="65" ht="15.75" customHeight="1">
      <c r="A65" s="1">
        <v>64.0</v>
      </c>
      <c r="B65" s="1" t="s">
        <v>335</v>
      </c>
      <c r="C65" s="1" t="s">
        <v>336</v>
      </c>
      <c r="D65" s="1" t="s">
        <v>337</v>
      </c>
      <c r="E65" s="1">
        <v>1.08527677787624E20</v>
      </c>
      <c r="F65" s="1" t="s">
        <v>33</v>
      </c>
      <c r="G65" s="1" t="s">
        <v>338</v>
      </c>
      <c r="H65" s="1" t="s">
        <v>339</v>
      </c>
      <c r="I65" s="3">
        <v>46224.0372337963</v>
      </c>
      <c r="J65" s="3">
        <v>46224.0372337963</v>
      </c>
    </row>
    <row r="66" ht="15.75" customHeight="1">
      <c r="A66" s="1">
        <v>65.0</v>
      </c>
      <c r="B66" s="1" t="s">
        <v>341</v>
      </c>
      <c r="C66" s="1" t="s">
        <v>342</v>
      </c>
      <c r="D66" s="1" t="s">
        <v>343</v>
      </c>
      <c r="E66" s="1">
        <v>1.1396593313346E20</v>
      </c>
      <c r="F66" s="1" t="s">
        <v>33</v>
      </c>
      <c r="G66" s="1" t="s">
        <v>344</v>
      </c>
      <c r="H66" s="1" t="s">
        <v>345</v>
      </c>
      <c r="I66" s="3">
        <v>46224.17265046296</v>
      </c>
      <c r="J66" s="3">
        <v>46224.17265046296</v>
      </c>
    </row>
    <row r="67" ht="15.75" customHeight="1">
      <c r="A67" s="1">
        <v>66.0</v>
      </c>
      <c r="B67" s="1" t="s">
        <v>346</v>
      </c>
      <c r="C67" s="1" t="s">
        <v>347</v>
      </c>
      <c r="D67" s="1" t="s">
        <v>348</v>
      </c>
      <c r="E67" s="1">
        <v>1.0419827155655E20</v>
      </c>
      <c r="F67" s="1" t="s">
        <v>33</v>
      </c>
      <c r="G67" s="1" t="s">
        <v>350</v>
      </c>
      <c r="H67" s="1" t="s">
        <v>351</v>
      </c>
      <c r="I67" s="3">
        <v>46224.252222222225</v>
      </c>
      <c r="J67" s="3">
        <v>46224.252222222225</v>
      </c>
    </row>
    <row r="68" ht="15.75" customHeight="1">
      <c r="A68" s="1">
        <v>67.0</v>
      </c>
      <c r="B68" s="1" t="s">
        <v>352</v>
      </c>
      <c r="C68" s="1" t="s">
        <v>353</v>
      </c>
      <c r="D68" s="1" t="s">
        <v>354</v>
      </c>
      <c r="E68" s="1">
        <v>1.12537981777303E20</v>
      </c>
      <c r="F68" s="1" t="s">
        <v>33</v>
      </c>
      <c r="G68" s="1" t="s">
        <v>355</v>
      </c>
      <c r="H68" s="1" t="s">
        <v>356</v>
      </c>
      <c r="I68" s="3">
        <v>46224.26688657407</v>
      </c>
      <c r="J68" s="3">
        <v>46224.26688657407</v>
      </c>
    </row>
    <row r="69" ht="15.75" customHeight="1">
      <c r="A69" s="1">
        <v>68.0</v>
      </c>
      <c r="B69" s="1" t="s">
        <v>358</v>
      </c>
      <c r="C69" s="1" t="s">
        <v>359</v>
      </c>
      <c r="D69" s="1" t="s">
        <v>360</v>
      </c>
      <c r="E69" s="1">
        <v>1.16038200311012E20</v>
      </c>
      <c r="F69" s="1" t="s">
        <v>33</v>
      </c>
      <c r="G69" s="1" t="s">
        <v>361</v>
      </c>
      <c r="H69" s="1" t="s">
        <v>362</v>
      </c>
      <c r="I69" s="3">
        <v>46224.42386574074</v>
      </c>
      <c r="J69" s="3">
        <v>46224.42386574074</v>
      </c>
    </row>
    <row r="70" ht="15.75" customHeight="1">
      <c r="A70" s="1">
        <v>69.0</v>
      </c>
      <c r="B70" s="1" t="s">
        <v>363</v>
      </c>
      <c r="C70" s="1" t="s">
        <v>364</v>
      </c>
      <c r="D70" s="1" t="s">
        <v>365</v>
      </c>
      <c r="E70" s="1">
        <v>1.06559507426001E20</v>
      </c>
      <c r="F70" s="1" t="s">
        <v>33</v>
      </c>
      <c r="G70" s="1" t="s">
        <v>367</v>
      </c>
      <c r="H70" s="1" t="s">
        <v>368</v>
      </c>
      <c r="I70" s="3">
        <v>46224.46040509259</v>
      </c>
      <c r="J70" s="3">
        <v>46224.69991898148</v>
      </c>
    </row>
    <row r="71" ht="15.75" customHeight="1">
      <c r="A71" s="1">
        <v>70.0</v>
      </c>
      <c r="B71" s="1" t="s">
        <v>369</v>
      </c>
      <c r="C71" s="1" t="s">
        <v>370</v>
      </c>
      <c r="D71" s="1" t="s">
        <v>371</v>
      </c>
      <c r="E71" s="1">
        <v>1.12902834111633E20</v>
      </c>
      <c r="F71" s="1" t="s">
        <v>33</v>
      </c>
      <c r="G71" s="1" t="s">
        <v>372</v>
      </c>
      <c r="H71" s="1" t="s">
        <v>373</v>
      </c>
      <c r="I71" s="3">
        <v>46224.536157407405</v>
      </c>
      <c r="J71" s="3">
        <v>46224.536157407405</v>
      </c>
    </row>
    <row r="72" ht="15.75" customHeight="1">
      <c r="A72" s="1">
        <v>71.0</v>
      </c>
      <c r="B72" s="1" t="s">
        <v>374</v>
      </c>
      <c r="C72" s="1" t="s">
        <v>375</v>
      </c>
      <c r="D72" s="1" t="s">
        <v>376</v>
      </c>
      <c r="E72" s="1">
        <v>1.15109360820048E20</v>
      </c>
      <c r="F72" s="1" t="s">
        <v>33</v>
      </c>
      <c r="G72" s="1" t="s">
        <v>377</v>
      </c>
      <c r="H72" s="1" t="s">
        <v>378</v>
      </c>
      <c r="I72" s="3">
        <v>46225.64534722222</v>
      </c>
      <c r="J72" s="3">
        <v>46225.64534722222</v>
      </c>
    </row>
    <row r="73" ht="15.75" customHeight="1">
      <c r="A73" s="1">
        <v>72.0</v>
      </c>
      <c r="B73" s="1" t="s">
        <v>379</v>
      </c>
      <c r="C73" s="1" t="s">
        <v>380</v>
      </c>
      <c r="D73" s="1" t="s">
        <v>381</v>
      </c>
      <c r="E73" s="1">
        <v>1.00121047648791E20</v>
      </c>
      <c r="F73" s="1" t="s">
        <v>33</v>
      </c>
      <c r="G73" s="1" t="s">
        <v>382</v>
      </c>
      <c r="H73" s="1" t="s">
        <v>383</v>
      </c>
      <c r="I73" s="3">
        <v>46226.45582175926</v>
      </c>
      <c r="J73" s="3">
        <v>46226.45582175926</v>
      </c>
    </row>
    <row r="74" ht="15.75" customHeight="1">
      <c r="A74" s="1">
        <v>73.0</v>
      </c>
      <c r="B74" s="1" t="s">
        <v>385</v>
      </c>
      <c r="C74" s="1" t="s">
        <v>386</v>
      </c>
      <c r="D74" s="1" t="s">
        <v>387</v>
      </c>
      <c r="E74" s="1">
        <v>1.06160561875602E20</v>
      </c>
      <c r="F74" s="1" t="s">
        <v>33</v>
      </c>
      <c r="G74" s="1" t="s">
        <v>388</v>
      </c>
      <c r="H74" s="1" t="s">
        <v>389</v>
      </c>
      <c r="I74" s="3">
        <v>46227.20222222222</v>
      </c>
      <c r="J74" s="3">
        <v>46227.20222222222</v>
      </c>
    </row>
    <row r="75" ht="15.75" customHeight="1">
      <c r="A75" s="1">
        <v>74.0</v>
      </c>
      <c r="B75" s="1" t="s">
        <v>390</v>
      </c>
      <c r="C75" s="1" t="s">
        <v>391</v>
      </c>
      <c r="D75" s="1" t="s">
        <v>392</v>
      </c>
      <c r="E75" s="1">
        <v>1.02904000440019E20</v>
      </c>
      <c r="F75" s="1" t="s">
        <v>33</v>
      </c>
      <c r="G75" s="1" t="s">
        <v>393</v>
      </c>
      <c r="H75" s="1" t="s">
        <v>394</v>
      </c>
      <c r="I75" s="3">
        <v>46228.04613425926</v>
      </c>
      <c r="J75" s="3">
        <v>46228.04613425926</v>
      </c>
    </row>
    <row r="76" ht="15.75" customHeight="1">
      <c r="A76" s="1">
        <v>75.0</v>
      </c>
      <c r="B76" s="1" t="s">
        <v>396</v>
      </c>
      <c r="C76" s="1" t="s">
        <v>397</v>
      </c>
      <c r="D76" s="1" t="s">
        <v>398</v>
      </c>
      <c r="E76" s="1">
        <v>1.17507007170319E20</v>
      </c>
      <c r="F76" s="1" t="s">
        <v>33</v>
      </c>
      <c r="G76" s="1" t="s">
        <v>399</v>
      </c>
      <c r="H76" s="1" t="s">
        <v>400</v>
      </c>
      <c r="I76" s="3">
        <v>46228.089525462965</v>
      </c>
      <c r="J76" s="3">
        <v>46228.089525462965</v>
      </c>
    </row>
    <row r="77" ht="15.75" customHeight="1">
      <c r="A77" s="1">
        <v>76.0</v>
      </c>
      <c r="B77" s="1" t="s">
        <v>402</v>
      </c>
      <c r="C77" s="1" t="s">
        <v>403</v>
      </c>
      <c r="D77" s="1" t="s">
        <v>404</v>
      </c>
      <c r="E77" s="1">
        <v>1.00924467292751E20</v>
      </c>
      <c r="F77" s="1" t="s">
        <v>33</v>
      </c>
      <c r="G77" s="1" t="s">
        <v>405</v>
      </c>
      <c r="H77" s="1" t="s">
        <v>406</v>
      </c>
      <c r="I77" s="3">
        <v>46229.375706018516</v>
      </c>
      <c r="J77" s="3">
        <v>46229.375706018516</v>
      </c>
    </row>
    <row r="78" ht="15.75" customHeight="1">
      <c r="A78" s="1">
        <v>77.0</v>
      </c>
      <c r="B78" s="1" t="s">
        <v>407</v>
      </c>
      <c r="C78" s="1" t="s">
        <v>408</v>
      </c>
      <c r="D78" s="1" t="s">
        <v>409</v>
      </c>
      <c r="E78" s="1">
        <v>1.03464282884953E20</v>
      </c>
      <c r="F78" s="1" t="s">
        <v>33</v>
      </c>
      <c r="G78" s="1" t="s">
        <v>410</v>
      </c>
      <c r="H78" s="1" t="s">
        <v>411</v>
      </c>
      <c r="I78" s="3">
        <v>46229.4121875</v>
      </c>
      <c r="J78" s="3">
        <v>46229.4121875</v>
      </c>
    </row>
    <row r="79" ht="15.75" customHeight="1">
      <c r="A79" s="1">
        <v>78.0</v>
      </c>
      <c r="B79" s="1" t="s">
        <v>412</v>
      </c>
      <c r="C79" s="1" t="s">
        <v>413</v>
      </c>
      <c r="D79" s="1" t="s">
        <v>414</v>
      </c>
      <c r="E79" s="1">
        <v>1.01970337947092E20</v>
      </c>
      <c r="F79" s="1" t="s">
        <v>33</v>
      </c>
      <c r="G79" s="1" t="s">
        <v>415</v>
      </c>
      <c r="H79" s="1" t="s">
        <v>416</v>
      </c>
      <c r="I79" s="3">
        <v>46229.41355324074</v>
      </c>
      <c r="J79" s="3">
        <v>46229.41355324074</v>
      </c>
    </row>
    <row r="80" ht="15.75" customHeight="1">
      <c r="A80" s="1">
        <v>79.0</v>
      </c>
      <c r="B80" s="1" t="s">
        <v>417</v>
      </c>
      <c r="C80" s="1" t="s">
        <v>418</v>
      </c>
      <c r="D80" s="1" t="s">
        <v>419</v>
      </c>
      <c r="E80" s="1">
        <v>1.04345764241513E20</v>
      </c>
      <c r="F80" s="1" t="s">
        <v>33</v>
      </c>
      <c r="G80" s="1" t="s">
        <v>420</v>
      </c>
      <c r="H80" s="1" t="s">
        <v>421</v>
      </c>
      <c r="I80" s="3">
        <v>46229.50895833333</v>
      </c>
      <c r="J80" s="3">
        <v>46229.50895833333</v>
      </c>
    </row>
    <row r="81" ht="15.75" customHeight="1">
      <c r="A81" s="1">
        <v>80.0</v>
      </c>
      <c r="B81" s="1" t="s">
        <v>422</v>
      </c>
      <c r="C81" s="1" t="s">
        <v>423</v>
      </c>
      <c r="D81" s="1" t="s">
        <v>424</v>
      </c>
      <c r="E81" s="1">
        <v>1.10468584367527E20</v>
      </c>
      <c r="F81" s="1" t="s">
        <v>33</v>
      </c>
      <c r="G81" s="1" t="s">
        <v>426</v>
      </c>
      <c r="H81" s="1" t="s">
        <v>427</v>
      </c>
      <c r="I81" s="3">
        <v>46229.586435185185</v>
      </c>
      <c r="J81" s="3">
        <v>46229.586435185185</v>
      </c>
    </row>
    <row r="82" ht="15.75" customHeight="1">
      <c r="A82" s="1">
        <v>81.0</v>
      </c>
      <c r="B82" s="1" t="s">
        <v>428</v>
      </c>
      <c r="C82" s="1" t="s">
        <v>429</v>
      </c>
      <c r="D82" s="1" t="s">
        <v>430</v>
      </c>
      <c r="E82" s="1">
        <v>1.09653241486834E20</v>
      </c>
      <c r="F82" s="1" t="s">
        <v>33</v>
      </c>
      <c r="G82" s="1" t="s">
        <v>432</v>
      </c>
      <c r="H82" s="1" t="s">
        <v>433</v>
      </c>
      <c r="I82" s="3">
        <v>46230.35575231481</v>
      </c>
      <c r="J82" s="3">
        <v>46230.35575231481</v>
      </c>
    </row>
    <row r="83" ht="15.75" customHeight="1">
      <c r="A83" s="1">
        <v>82.0</v>
      </c>
      <c r="B83" s="1" t="s">
        <v>434</v>
      </c>
      <c r="C83" s="1" t="s">
        <v>435</v>
      </c>
      <c r="D83" s="1" t="s">
        <v>436</v>
      </c>
      <c r="E83" s="1">
        <v>1.12881061203149E20</v>
      </c>
      <c r="F83" s="1" t="s">
        <v>33</v>
      </c>
      <c r="G83" s="1" t="s">
        <v>437</v>
      </c>
      <c r="H83" s="1" t="s">
        <v>438</v>
      </c>
      <c r="I83" s="3">
        <v>46230.45525462963</v>
      </c>
      <c r="J83" s="3">
        <v>46230.45525462963</v>
      </c>
    </row>
    <row r="84" ht="15.75" customHeight="1">
      <c r="A84" s="1">
        <v>83.0</v>
      </c>
      <c r="B84" s="1" t="s">
        <v>439</v>
      </c>
      <c r="C84" s="1" t="s">
        <v>440</v>
      </c>
      <c r="D84" s="1" t="s">
        <v>441</v>
      </c>
      <c r="E84" s="1">
        <v>1.14538502546261E20</v>
      </c>
      <c r="F84" s="1" t="s">
        <v>33</v>
      </c>
      <c r="G84" s="1" t="s">
        <v>442</v>
      </c>
      <c r="H84" s="1" t="s">
        <v>443</v>
      </c>
      <c r="I84" s="3">
        <v>46230.455405092594</v>
      </c>
      <c r="J84" s="3">
        <v>46230.455405092594</v>
      </c>
    </row>
    <row r="85" ht="15.75" customHeight="1">
      <c r="A85" s="1">
        <v>84.0</v>
      </c>
      <c r="B85" s="1" t="s">
        <v>444</v>
      </c>
      <c r="C85" s="1" t="s">
        <v>445</v>
      </c>
      <c r="D85" s="1" t="s">
        <v>446</v>
      </c>
      <c r="E85" s="1">
        <v>1.07199177669664E20</v>
      </c>
      <c r="F85" s="1" t="s">
        <v>33</v>
      </c>
      <c r="G85" s="1" t="s">
        <v>447</v>
      </c>
      <c r="H85" s="1" t="s">
        <v>448</v>
      </c>
      <c r="I85" s="3">
        <v>46230.45892361111</v>
      </c>
      <c r="J85" s="3">
        <v>46230.45892361111</v>
      </c>
    </row>
    <row r="86" ht="15.75" customHeight="1">
      <c r="A86" s="1">
        <v>85.0</v>
      </c>
      <c r="B86" s="1" t="s">
        <v>449</v>
      </c>
      <c r="C86" s="1" t="s">
        <v>450</v>
      </c>
      <c r="D86" s="1" t="s">
        <v>451</v>
      </c>
      <c r="E86" s="1">
        <v>1.13021636626657E20</v>
      </c>
      <c r="F86" s="1" t="s">
        <v>33</v>
      </c>
      <c r="G86" s="1" t="s">
        <v>452</v>
      </c>
      <c r="H86" s="1" t="s">
        <v>453</v>
      </c>
      <c r="I86" s="3">
        <v>46230.46790509259</v>
      </c>
      <c r="J86" s="3">
        <v>46230.46790509259</v>
      </c>
    </row>
    <row r="87" ht="15.75" customHeight="1">
      <c r="A87" s="1">
        <v>86.0</v>
      </c>
      <c r="B87" s="1" t="s">
        <v>454</v>
      </c>
      <c r="C87" s="1" t="s">
        <v>455</v>
      </c>
      <c r="D87" s="1" t="s">
        <v>457</v>
      </c>
      <c r="E87" s="1">
        <v>1.01759047615757E20</v>
      </c>
      <c r="F87" s="1" t="s">
        <v>33</v>
      </c>
      <c r="G87" s="1" t="s">
        <v>458</v>
      </c>
      <c r="H87" s="1" t="s">
        <v>459</v>
      </c>
      <c r="I87" s="3">
        <v>46232.46042824074</v>
      </c>
      <c r="J87" s="3">
        <v>46232.46042824074</v>
      </c>
    </row>
    <row r="88" ht="15.75" customHeight="1">
      <c r="A88" s="1">
        <v>87.0</v>
      </c>
      <c r="B88" s="1" t="s">
        <v>460</v>
      </c>
      <c r="C88" s="1" t="s">
        <v>461</v>
      </c>
      <c r="D88" s="1" t="s">
        <v>462</v>
      </c>
      <c r="E88" s="1">
        <v>1.13830990944353E20</v>
      </c>
      <c r="F88" s="1" t="s">
        <v>33</v>
      </c>
      <c r="G88" s="1" t="s">
        <v>463</v>
      </c>
      <c r="H88" s="1" t="s">
        <v>464</v>
      </c>
      <c r="I88" s="3">
        <v>46232.46125</v>
      </c>
      <c r="J88" s="3">
        <v>46232.46125</v>
      </c>
    </row>
    <row r="89" ht="15.75" customHeight="1">
      <c r="A89" s="1">
        <v>88.0</v>
      </c>
      <c r="B89" s="1" t="s">
        <v>466</v>
      </c>
      <c r="C89" s="1" t="s">
        <v>467</v>
      </c>
      <c r="D89" s="1" t="s">
        <v>468</v>
      </c>
      <c r="E89" s="1">
        <v>1.11366123065459E20</v>
      </c>
      <c r="F89" s="1" t="s">
        <v>33</v>
      </c>
      <c r="G89" s="1" t="s">
        <v>469</v>
      </c>
      <c r="H89" s="1" t="s">
        <v>470</v>
      </c>
      <c r="I89" s="3">
        <v>46233.335185185184</v>
      </c>
      <c r="J89" s="3">
        <v>46233.335185185184</v>
      </c>
    </row>
    <row r="90" ht="15.75" customHeight="1">
      <c r="A90" s="1">
        <v>89.0</v>
      </c>
      <c r="B90" s="1" t="s">
        <v>471</v>
      </c>
      <c r="C90" s="1" t="s">
        <v>472</v>
      </c>
      <c r="D90" s="1" t="s">
        <v>473</v>
      </c>
      <c r="E90" s="1">
        <v>1.01842204595149E20</v>
      </c>
      <c r="F90" s="1" t="s">
        <v>33</v>
      </c>
      <c r="G90" s="1" t="s">
        <v>475</v>
      </c>
      <c r="H90" s="1" t="s">
        <v>476</v>
      </c>
      <c r="I90" s="3">
        <v>46233.45880787037</v>
      </c>
      <c r="J90" s="3">
        <v>46233.45880787037</v>
      </c>
    </row>
    <row r="91" ht="15.75" customHeight="1">
      <c r="A91" s="1">
        <v>90.0</v>
      </c>
      <c r="B91" s="1" t="s">
        <v>477</v>
      </c>
      <c r="C91" s="1" t="s">
        <v>478</v>
      </c>
      <c r="D91" s="1" t="s">
        <v>479</v>
      </c>
      <c r="E91" s="1">
        <v>1.05834035011379E20</v>
      </c>
      <c r="F91" s="1" t="s">
        <v>33</v>
      </c>
      <c r="G91" s="1" t="s">
        <v>480</v>
      </c>
      <c r="H91" s="1" t="s">
        <v>481</v>
      </c>
      <c r="I91" s="3">
        <v>46233.45898148148</v>
      </c>
      <c r="J91" s="3">
        <v>46233.460023148145</v>
      </c>
    </row>
    <row r="92" ht="15.75" customHeight="1">
      <c r="A92" s="1">
        <v>91.0</v>
      </c>
      <c r="B92" s="1" t="s">
        <v>483</v>
      </c>
      <c r="C92" s="1" t="s">
        <v>484</v>
      </c>
      <c r="D92" s="1" t="s">
        <v>485</v>
      </c>
      <c r="E92" s="1">
        <v>1.07139836568078E20</v>
      </c>
      <c r="F92" s="1" t="s">
        <v>33</v>
      </c>
      <c r="G92" s="1" t="s">
        <v>486</v>
      </c>
      <c r="H92" s="1" t="s">
        <v>487</v>
      </c>
      <c r="I92" s="3">
        <v>46233.46136574074</v>
      </c>
      <c r="J92" s="3">
        <v>46233.46136574074</v>
      </c>
    </row>
    <row r="93" ht="15.75" customHeight="1">
      <c r="A93" s="1">
        <v>92.0</v>
      </c>
      <c r="B93" s="1" t="s">
        <v>488</v>
      </c>
      <c r="C93" s="1" t="s">
        <v>489</v>
      </c>
      <c r="D93" s="1" t="s">
        <v>490</v>
      </c>
      <c r="E93" s="1">
        <v>1.14928336599469E20</v>
      </c>
      <c r="F93" s="1" t="s">
        <v>33</v>
      </c>
      <c r="G93" s="1" t="s">
        <v>491</v>
      </c>
      <c r="H93" s="1" t="s">
        <v>492</v>
      </c>
      <c r="I93" s="3">
        <v>46233.46144675926</v>
      </c>
      <c r="J93" s="3">
        <v>46233.46144675926</v>
      </c>
    </row>
    <row r="94" ht="15.75" customHeight="1">
      <c r="A94" s="1">
        <v>93.0</v>
      </c>
      <c r="B94" s="1" t="s">
        <v>493</v>
      </c>
      <c r="C94" s="1" t="s">
        <v>494</v>
      </c>
      <c r="D94" s="1" t="s">
        <v>495</v>
      </c>
      <c r="E94" s="1">
        <v>1.16692217927092E20</v>
      </c>
      <c r="F94" s="1" t="s">
        <v>33</v>
      </c>
      <c r="G94" s="1" t="s">
        <v>496</v>
      </c>
      <c r="H94" s="1" t="s">
        <v>497</v>
      </c>
      <c r="I94" s="3">
        <v>46234.30050925926</v>
      </c>
      <c r="J94" s="3">
        <v>46234.30050925926</v>
      </c>
    </row>
    <row r="95" ht="15.75" customHeight="1">
      <c r="A95" s="1">
        <v>94.0</v>
      </c>
      <c r="B95" s="1" t="s">
        <v>498</v>
      </c>
      <c r="C95" s="1" t="s">
        <v>499</v>
      </c>
      <c r="D95" s="1" t="s">
        <v>501</v>
      </c>
      <c r="E95" s="1">
        <v>1.16201872237317E20</v>
      </c>
      <c r="F95" s="1" t="s">
        <v>33</v>
      </c>
      <c r="G95" s="1" t="s">
        <v>502</v>
      </c>
      <c r="H95" s="1" t="s">
        <v>504</v>
      </c>
      <c r="I95" s="3">
        <v>46234.45337962963</v>
      </c>
      <c r="J95" s="3">
        <v>46234.45337962963</v>
      </c>
    </row>
    <row r="96" ht="15.75" customHeight="1">
      <c r="A96" s="1">
        <v>95.0</v>
      </c>
      <c r="B96" s="1" t="s">
        <v>505</v>
      </c>
      <c r="C96" s="1" t="s">
        <v>506</v>
      </c>
      <c r="D96" s="1" t="s">
        <v>507</v>
      </c>
      <c r="E96" s="1">
        <v>1.09474448944271E20</v>
      </c>
      <c r="F96" s="1" t="s">
        <v>33</v>
      </c>
      <c r="G96" s="1" t="s">
        <v>508</v>
      </c>
      <c r="H96" s="1" t="s">
        <v>509</v>
      </c>
      <c r="I96" s="3">
        <v>46234.45359953704</v>
      </c>
      <c r="J96" s="3">
        <v>46234.45359953704</v>
      </c>
    </row>
    <row r="97" ht="15.75" customHeight="1">
      <c r="A97" s="1">
        <v>96.0</v>
      </c>
      <c r="B97" s="1" t="s">
        <v>510</v>
      </c>
      <c r="C97" s="1" t="s">
        <v>511</v>
      </c>
      <c r="D97" s="1" t="s">
        <v>512</v>
      </c>
      <c r="E97" s="1">
        <v>1.13185375273609E20</v>
      </c>
      <c r="F97" s="1" t="s">
        <v>33</v>
      </c>
      <c r="G97" s="1" t="s">
        <v>513</v>
      </c>
      <c r="H97" s="1" t="s">
        <v>514</v>
      </c>
      <c r="I97" s="3">
        <v>46234.57778935185</v>
      </c>
      <c r="J97" s="3">
        <v>46234.57778935185</v>
      </c>
    </row>
    <row r="98" ht="15.75" customHeight="1">
      <c r="A98" s="1">
        <v>97.0</v>
      </c>
      <c r="B98" s="1" t="s">
        <v>515</v>
      </c>
      <c r="C98" s="1" t="s">
        <v>516</v>
      </c>
      <c r="D98" s="1" t="s">
        <v>517</v>
      </c>
      <c r="E98" s="1">
        <v>1.17225785855999E20</v>
      </c>
      <c r="F98" s="1" t="s">
        <v>33</v>
      </c>
      <c r="G98" s="1" t="s">
        <v>518</v>
      </c>
      <c r="H98" s="1" t="s">
        <v>519</v>
      </c>
      <c r="I98" s="3">
        <v>46235.362337962964</v>
      </c>
      <c r="J98" s="3">
        <v>46235.362337962964</v>
      </c>
    </row>
    <row r="99" ht="15.75" customHeight="1">
      <c r="A99" s="1">
        <v>98.0</v>
      </c>
      <c r="B99" s="1" t="s">
        <v>520</v>
      </c>
      <c r="C99" s="1" t="s">
        <v>521</v>
      </c>
      <c r="D99" s="1" t="s">
        <v>522</v>
      </c>
      <c r="E99" s="1">
        <v>1.17896665029775E20</v>
      </c>
      <c r="F99" s="1" t="s">
        <v>33</v>
      </c>
      <c r="G99" s="1" t="s">
        <v>523</v>
      </c>
      <c r="H99" s="1" t="s">
        <v>524</v>
      </c>
      <c r="I99" s="3">
        <v>46236.667662037034</v>
      </c>
      <c r="J99" s="3">
        <v>46236.66806712963</v>
      </c>
    </row>
    <row r="100" ht="15.75" customHeight="1">
      <c r="A100" s="1">
        <v>99.0</v>
      </c>
      <c r="B100" s="1" t="s">
        <v>525</v>
      </c>
      <c r="C100" s="1" t="s">
        <v>526</v>
      </c>
      <c r="D100" s="1" t="s">
        <v>527</v>
      </c>
      <c r="E100" s="1">
        <v>1.15616941635554E20</v>
      </c>
      <c r="F100" s="1" t="s">
        <v>33</v>
      </c>
      <c r="G100" s="1" t="s">
        <v>529</v>
      </c>
      <c r="H100" s="1" t="s">
        <v>530</v>
      </c>
      <c r="I100" s="3">
        <v>46236.668900462966</v>
      </c>
      <c r="J100" s="3">
        <v>46236.82711805555</v>
      </c>
    </row>
    <row r="101" ht="15.75" customHeight="1">
      <c r="A101" s="1">
        <v>100.0</v>
      </c>
      <c r="B101" s="1" t="s">
        <v>531</v>
      </c>
      <c r="C101" s="1" t="s">
        <v>532</v>
      </c>
      <c r="D101" s="1" t="s">
        <v>533</v>
      </c>
      <c r="E101" s="1">
        <v>1.00811799227699E20</v>
      </c>
      <c r="F101" s="1" t="s">
        <v>33</v>
      </c>
      <c r="G101" s="1" t="s">
        <v>534</v>
      </c>
      <c r="H101" s="1" t="s">
        <v>535</v>
      </c>
      <c r="I101" s="3">
        <v>46236.7743287037</v>
      </c>
      <c r="J101" s="3">
        <v>46236.7743287037</v>
      </c>
    </row>
    <row r="102" ht="15.75" customHeight="1">
      <c r="A102" s="1">
        <v>101.0</v>
      </c>
      <c r="B102" s="1" t="s">
        <v>536</v>
      </c>
      <c r="C102" s="1" t="s">
        <v>537</v>
      </c>
      <c r="D102" s="1" t="s">
        <v>538</v>
      </c>
      <c r="E102" s="1">
        <v>1.12966528033627E20</v>
      </c>
      <c r="F102" s="1" t="s">
        <v>33</v>
      </c>
      <c r="G102" s="1" t="s">
        <v>539</v>
      </c>
      <c r="H102" s="1" t="s">
        <v>540</v>
      </c>
      <c r="I102" s="3">
        <v>46236.77758101852</v>
      </c>
      <c r="J102" s="3">
        <v>46236.77858796297</v>
      </c>
    </row>
    <row r="103" ht="15.75" customHeight="1">
      <c r="A103" s="1">
        <v>102.0</v>
      </c>
      <c r="B103" s="1" t="s">
        <v>541</v>
      </c>
      <c r="C103" s="1" t="s">
        <v>542</v>
      </c>
      <c r="D103" s="1" t="s">
        <v>543</v>
      </c>
      <c r="E103" s="1">
        <v>1.11754019783707E20</v>
      </c>
      <c r="F103" s="1" t="s">
        <v>33</v>
      </c>
      <c r="G103" s="1" t="s">
        <v>544</v>
      </c>
      <c r="H103" s="1" t="s">
        <v>545</v>
      </c>
      <c r="I103" s="3">
        <v>46236.942766203705</v>
      </c>
      <c r="J103" s="3">
        <v>46236.942766203705</v>
      </c>
    </row>
    <row r="104" ht="15.75" customHeight="1">
      <c r="A104" s="1">
        <v>103.0</v>
      </c>
      <c r="B104" s="1" t="s">
        <v>546</v>
      </c>
      <c r="C104" s="1" t="s">
        <v>547</v>
      </c>
      <c r="D104" s="1" t="s">
        <v>548</v>
      </c>
      <c r="E104" s="1">
        <v>1.07385652660432E20</v>
      </c>
      <c r="F104" s="1" t="s">
        <v>33</v>
      </c>
      <c r="G104" s="1" t="s">
        <v>549</v>
      </c>
      <c r="H104" s="1" t="s">
        <v>550</v>
      </c>
      <c r="I104" s="3">
        <v>46237.78508101852</v>
      </c>
      <c r="J104" s="3">
        <v>46237.78508101852</v>
      </c>
    </row>
    <row r="105" ht="15.75" customHeight="1">
      <c r="A105" s="1">
        <v>104.0</v>
      </c>
      <c r="B105" s="1" t="s">
        <v>551</v>
      </c>
      <c r="C105" s="1" t="s">
        <v>552</v>
      </c>
      <c r="D105" s="1" t="s">
        <v>553</v>
      </c>
      <c r="E105" s="1">
        <v>1.0242740773073E20</v>
      </c>
      <c r="F105" s="1" t="s">
        <v>33</v>
      </c>
      <c r="G105" s="1" t="s">
        <v>554</v>
      </c>
      <c r="H105" s="1" t="s">
        <v>555</v>
      </c>
      <c r="I105" s="3">
        <v>46237.92087962963</v>
      </c>
      <c r="J105" s="3">
        <v>46237.92087962963</v>
      </c>
    </row>
    <row r="106" ht="15.75" customHeight="1">
      <c r="A106" s="1">
        <v>105.0</v>
      </c>
      <c r="B106" s="1" t="s">
        <v>556</v>
      </c>
      <c r="C106" s="1" t="s">
        <v>557</v>
      </c>
      <c r="D106" s="1" t="s">
        <v>558</v>
      </c>
      <c r="E106" s="1">
        <v>1.07475091838394E20</v>
      </c>
      <c r="F106" s="1" t="s">
        <v>33</v>
      </c>
      <c r="G106" s="1" t="s">
        <v>559</v>
      </c>
      <c r="H106" s="1" t="s">
        <v>560</v>
      </c>
      <c r="I106" s="3">
        <v>46238.796805555554</v>
      </c>
      <c r="J106" s="3">
        <v>46238.796805555554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1.29"/>
    <col customWidth="1" min="4" max="4" width="10.86"/>
    <col customWidth="1" min="5" max="5" width="10.57"/>
    <col customWidth="1" min="6" max="26" width="8.0"/>
  </cols>
  <sheetData>
    <row r="1">
      <c r="A1" s="1" t="s">
        <v>4</v>
      </c>
      <c r="B1" s="1" t="s">
        <v>7</v>
      </c>
      <c r="C1" s="1" t="s">
        <v>11</v>
      </c>
      <c r="D1" s="1" t="s">
        <v>0</v>
      </c>
      <c r="E1" s="1" t="s">
        <v>3</v>
      </c>
      <c r="F1" s="1" t="s">
        <v>18</v>
      </c>
      <c r="G1" s="1" t="s">
        <v>21</v>
      </c>
      <c r="H1" s="1" t="s">
        <v>24</v>
      </c>
      <c r="I1" s="1" t="s">
        <v>27</v>
      </c>
      <c r="J1" s="1" t="s">
        <v>30</v>
      </c>
      <c r="K1" s="1" t="s">
        <v>32</v>
      </c>
      <c r="L1" s="1" t="s">
        <v>34</v>
      </c>
    </row>
    <row r="2">
      <c r="A2" s="1">
        <v>293.0</v>
      </c>
      <c r="B2" s="1" t="s">
        <v>37</v>
      </c>
      <c r="C2" s="2">
        <v>46204.0</v>
      </c>
      <c r="D2" s="1" t="s">
        <v>29</v>
      </c>
      <c r="E2" s="4" t="s">
        <v>39</v>
      </c>
      <c r="F2" s="1">
        <v>2.0</v>
      </c>
      <c r="G2" s="1">
        <v>18.0</v>
      </c>
      <c r="H2" s="1">
        <v>10.0</v>
      </c>
      <c r="I2" s="1">
        <v>28.0</v>
      </c>
      <c r="J2" s="1">
        <v>5.0</v>
      </c>
      <c r="K2" s="1">
        <v>2.0</v>
      </c>
      <c r="L2" s="1">
        <v>9.0</v>
      </c>
    </row>
    <row r="3">
      <c r="A3" s="1">
        <v>294.0</v>
      </c>
      <c r="B3" s="1" t="s">
        <v>37</v>
      </c>
      <c r="C3" s="2">
        <v>46204.0</v>
      </c>
      <c r="D3" s="1" t="s">
        <v>53</v>
      </c>
      <c r="E3" s="1" t="s">
        <v>54</v>
      </c>
      <c r="F3" s="1">
        <v>6.0</v>
      </c>
      <c r="G3" s="1">
        <v>4.0</v>
      </c>
      <c r="H3" s="1">
        <v>10.0</v>
      </c>
      <c r="I3" s="1">
        <v>14.0</v>
      </c>
      <c r="J3" s="1">
        <v>2.0</v>
      </c>
      <c r="K3" s="1">
        <v>5.0</v>
      </c>
      <c r="L3" s="1">
        <v>-9.0</v>
      </c>
    </row>
    <row r="4">
      <c r="A4" s="1">
        <v>295.0</v>
      </c>
      <c r="B4" s="1" t="s">
        <v>37</v>
      </c>
      <c r="C4" s="2">
        <v>46204.0</v>
      </c>
      <c r="D4" s="1" t="s">
        <v>62</v>
      </c>
      <c r="E4" s="1" t="s">
        <v>64</v>
      </c>
      <c r="F4" s="1">
        <v>4.0</v>
      </c>
      <c r="G4" s="1">
        <v>8.0</v>
      </c>
      <c r="H4" s="1">
        <v>10.0</v>
      </c>
      <c r="I4" s="1">
        <v>18.0</v>
      </c>
      <c r="J4" s="1">
        <v>4.0</v>
      </c>
      <c r="K4" s="1">
        <v>3.0</v>
      </c>
      <c r="L4" s="1">
        <v>2.0</v>
      </c>
    </row>
    <row r="5">
      <c r="A5" s="1">
        <v>296.0</v>
      </c>
      <c r="B5" s="1" t="s">
        <v>37</v>
      </c>
      <c r="C5" s="2">
        <v>46204.0</v>
      </c>
      <c r="D5" s="1" t="s">
        <v>71</v>
      </c>
      <c r="E5" s="1" t="s">
        <v>68</v>
      </c>
      <c r="F5" s="1">
        <v>3.0</v>
      </c>
      <c r="G5" s="1">
        <v>12.0</v>
      </c>
      <c r="H5" s="1">
        <v>10.0</v>
      </c>
      <c r="I5" s="1">
        <v>22.0</v>
      </c>
      <c r="J5" s="1">
        <v>5.0</v>
      </c>
      <c r="K5" s="1">
        <v>2.0</v>
      </c>
      <c r="L5" s="1">
        <v>7.0</v>
      </c>
    </row>
    <row r="6">
      <c r="A6" s="1">
        <v>297.0</v>
      </c>
      <c r="B6" s="1" t="s">
        <v>37</v>
      </c>
      <c r="C6" s="2">
        <v>46204.0</v>
      </c>
      <c r="D6" s="1" t="s">
        <v>82</v>
      </c>
      <c r="E6" s="1" t="s">
        <v>75</v>
      </c>
      <c r="F6" s="1">
        <v>1.0</v>
      </c>
      <c r="G6" s="1">
        <v>25.0</v>
      </c>
      <c r="H6" s="1">
        <v>10.0</v>
      </c>
      <c r="I6" s="1">
        <v>35.0</v>
      </c>
      <c r="J6" s="1">
        <v>6.0</v>
      </c>
      <c r="K6" s="1">
        <v>1.0</v>
      </c>
      <c r="L6" s="1">
        <v>5.0</v>
      </c>
    </row>
    <row r="7">
      <c r="A7" s="1">
        <v>298.0</v>
      </c>
      <c r="B7" s="1" t="s">
        <v>37</v>
      </c>
      <c r="C7" s="2">
        <v>46204.0</v>
      </c>
      <c r="D7" s="1" t="s">
        <v>90</v>
      </c>
      <c r="E7" s="1" t="s">
        <v>80</v>
      </c>
      <c r="F7" s="1">
        <v>5.0</v>
      </c>
      <c r="G7" s="1">
        <v>6.0</v>
      </c>
      <c r="H7" s="1">
        <v>10.0</v>
      </c>
      <c r="I7" s="1">
        <v>16.0</v>
      </c>
      <c r="J7" s="1">
        <v>3.0</v>
      </c>
      <c r="K7" s="1">
        <v>4.0</v>
      </c>
      <c r="L7" s="1">
        <v>0.0</v>
      </c>
    </row>
    <row r="8">
      <c r="A8" s="1">
        <v>299.0</v>
      </c>
      <c r="B8" s="1" t="s">
        <v>37</v>
      </c>
      <c r="C8" s="2">
        <v>46204.0</v>
      </c>
      <c r="D8" s="1" t="s">
        <v>97</v>
      </c>
      <c r="E8" s="1" t="s">
        <v>84</v>
      </c>
      <c r="F8" s="1">
        <v>7.0</v>
      </c>
      <c r="G8" s="1">
        <v>2.0</v>
      </c>
      <c r="H8" s="1">
        <v>10.0</v>
      </c>
      <c r="I8" s="1">
        <v>12.0</v>
      </c>
      <c r="J8" s="1">
        <v>2.0</v>
      </c>
      <c r="K8" s="1">
        <v>5.0</v>
      </c>
      <c r="L8" s="1">
        <v>-10.0</v>
      </c>
    </row>
    <row r="9">
      <c r="A9" s="1">
        <v>300.0</v>
      </c>
      <c r="B9" s="1" t="s">
        <v>37</v>
      </c>
      <c r="C9" s="2">
        <v>46204.0</v>
      </c>
      <c r="D9" s="1" t="s">
        <v>105</v>
      </c>
      <c r="E9" s="1" t="s">
        <v>87</v>
      </c>
      <c r="F9" s="1">
        <v>8.0</v>
      </c>
      <c r="G9" s="1">
        <v>1.0</v>
      </c>
      <c r="H9" s="1">
        <v>10.0</v>
      </c>
      <c r="I9" s="1">
        <v>11.0</v>
      </c>
      <c r="J9" s="1">
        <v>1.0</v>
      </c>
      <c r="K9" s="1">
        <v>6.0</v>
      </c>
      <c r="L9" s="1">
        <v>-14.0</v>
      </c>
    </row>
    <row r="10">
      <c r="A10" s="1">
        <v>301.0</v>
      </c>
      <c r="B10" s="1" t="s">
        <v>111</v>
      </c>
      <c r="C10" s="2">
        <v>46204.0</v>
      </c>
      <c r="D10" s="1" t="s">
        <v>29</v>
      </c>
      <c r="E10" s="4" t="s">
        <v>39</v>
      </c>
      <c r="F10" s="1">
        <v>6.0</v>
      </c>
      <c r="G10" s="1">
        <v>4.0</v>
      </c>
      <c r="H10" s="1">
        <v>10.0</v>
      </c>
      <c r="I10" s="1">
        <v>14.0</v>
      </c>
      <c r="J10" s="1">
        <v>2.0</v>
      </c>
      <c r="K10" s="1">
        <v>5.0</v>
      </c>
      <c r="L10" s="1">
        <v>-5.0</v>
      </c>
    </row>
    <row r="11">
      <c r="A11" s="1">
        <v>302.0</v>
      </c>
      <c r="B11" s="1" t="s">
        <v>111</v>
      </c>
      <c r="C11" s="2">
        <v>46204.0</v>
      </c>
      <c r="D11" s="1" t="s">
        <v>62</v>
      </c>
      <c r="E11" s="1" t="s">
        <v>64</v>
      </c>
      <c r="F11" s="1">
        <v>4.0</v>
      </c>
      <c r="G11" s="1">
        <v>8.0</v>
      </c>
      <c r="H11" s="1">
        <v>10.0</v>
      </c>
      <c r="I11" s="1">
        <v>18.0</v>
      </c>
      <c r="J11" s="1">
        <v>3.0</v>
      </c>
      <c r="K11" s="1">
        <v>4.0</v>
      </c>
      <c r="L11" s="1">
        <v>-2.0</v>
      </c>
    </row>
    <row r="12">
      <c r="A12" s="1">
        <v>303.0</v>
      </c>
      <c r="B12" s="1" t="s">
        <v>111</v>
      </c>
      <c r="C12" s="2">
        <v>46204.0</v>
      </c>
      <c r="D12" s="1" t="s">
        <v>126</v>
      </c>
      <c r="E12" s="1" t="s">
        <v>61</v>
      </c>
      <c r="F12" s="1">
        <v>5.0</v>
      </c>
      <c r="G12" s="1">
        <v>6.0</v>
      </c>
      <c r="H12" s="1">
        <v>10.0</v>
      </c>
      <c r="I12" s="1">
        <v>16.0</v>
      </c>
      <c r="J12" s="1">
        <v>3.0</v>
      </c>
      <c r="K12" s="1">
        <v>4.0</v>
      </c>
      <c r="L12" s="1">
        <v>-2.0</v>
      </c>
    </row>
    <row r="13">
      <c r="A13" s="1">
        <v>304.0</v>
      </c>
      <c r="B13" s="1" t="s">
        <v>111</v>
      </c>
      <c r="C13" s="2">
        <v>46204.0</v>
      </c>
      <c r="D13" s="1" t="s">
        <v>136</v>
      </c>
      <c r="E13" s="1" t="s">
        <v>92</v>
      </c>
      <c r="F13" s="1">
        <v>1.0</v>
      </c>
      <c r="G13" s="1">
        <v>25.0</v>
      </c>
      <c r="H13" s="1">
        <v>10.0</v>
      </c>
      <c r="I13" s="1">
        <v>35.0</v>
      </c>
      <c r="J13" s="1">
        <v>7.0</v>
      </c>
      <c r="K13" s="1">
        <v>0.0</v>
      </c>
      <c r="L13" s="1">
        <v>15.0</v>
      </c>
    </row>
    <row r="14">
      <c r="A14" s="1">
        <v>305.0</v>
      </c>
      <c r="B14" s="1" t="s">
        <v>111</v>
      </c>
      <c r="C14" s="2">
        <v>46204.0</v>
      </c>
      <c r="D14" s="1" t="s">
        <v>146</v>
      </c>
      <c r="E14" s="1" t="s">
        <v>96</v>
      </c>
      <c r="F14" s="1">
        <v>2.0</v>
      </c>
      <c r="G14" s="1">
        <v>18.0</v>
      </c>
      <c r="H14" s="1">
        <v>10.0</v>
      </c>
      <c r="I14" s="1">
        <v>28.0</v>
      </c>
      <c r="J14" s="1">
        <v>6.0</v>
      </c>
      <c r="K14" s="1">
        <v>1.0</v>
      </c>
      <c r="L14" s="1">
        <v>14.0</v>
      </c>
    </row>
    <row r="15">
      <c r="A15" s="1">
        <v>306.0</v>
      </c>
      <c r="B15" s="1" t="s">
        <v>111</v>
      </c>
      <c r="C15" s="2">
        <v>46204.0</v>
      </c>
      <c r="D15" s="1" t="s">
        <v>152</v>
      </c>
      <c r="E15" s="1" t="s">
        <v>100</v>
      </c>
      <c r="F15" s="1">
        <v>3.0</v>
      </c>
      <c r="G15" s="1">
        <v>12.0</v>
      </c>
      <c r="H15" s="1">
        <v>10.0</v>
      </c>
      <c r="I15" s="1">
        <v>22.0</v>
      </c>
      <c r="J15" s="1">
        <v>4.0</v>
      </c>
      <c r="K15" s="1">
        <v>3.0</v>
      </c>
      <c r="L15" s="1">
        <v>3.0</v>
      </c>
    </row>
    <row r="16">
      <c r="A16" s="1">
        <v>307.0</v>
      </c>
      <c r="B16" s="1" t="s">
        <v>111</v>
      </c>
      <c r="C16" s="2">
        <v>46204.0</v>
      </c>
      <c r="D16" s="1" t="s">
        <v>158</v>
      </c>
      <c r="E16" s="1" t="s">
        <v>103</v>
      </c>
      <c r="F16" s="1">
        <v>7.0</v>
      </c>
      <c r="G16" s="1">
        <v>2.0</v>
      </c>
      <c r="H16" s="1">
        <v>10.0</v>
      </c>
      <c r="I16" s="1">
        <v>12.0</v>
      </c>
      <c r="J16" s="1">
        <v>2.0</v>
      </c>
      <c r="K16" s="1">
        <v>5.0</v>
      </c>
      <c r="L16" s="1">
        <v>-8.0</v>
      </c>
    </row>
    <row r="17">
      <c r="A17" s="1">
        <v>308.0</v>
      </c>
      <c r="B17" s="1" t="s">
        <v>111</v>
      </c>
      <c r="C17" s="2">
        <v>46204.0</v>
      </c>
      <c r="D17" s="1" t="s">
        <v>167</v>
      </c>
      <c r="E17" s="1" t="s">
        <v>108</v>
      </c>
      <c r="F17" s="1">
        <v>8.0</v>
      </c>
      <c r="G17" s="1">
        <v>1.0</v>
      </c>
      <c r="H17" s="1">
        <v>10.0</v>
      </c>
      <c r="I17" s="1">
        <v>11.0</v>
      </c>
      <c r="J17" s="1">
        <v>1.0</v>
      </c>
      <c r="K17" s="1">
        <v>6.0</v>
      </c>
      <c r="L17" s="1">
        <v>-15.0</v>
      </c>
    </row>
    <row r="18">
      <c r="A18" s="1">
        <v>309.0</v>
      </c>
      <c r="B18" s="1" t="s">
        <v>178</v>
      </c>
      <c r="C18" s="2">
        <v>46204.0</v>
      </c>
      <c r="D18" s="1" t="s">
        <v>29</v>
      </c>
      <c r="E18" s="4" t="s">
        <v>39</v>
      </c>
      <c r="F18" s="1">
        <v>1.0</v>
      </c>
      <c r="G18" s="1">
        <v>25.0</v>
      </c>
      <c r="H18" s="1">
        <v>10.0</v>
      </c>
      <c r="I18" s="1">
        <v>35.0</v>
      </c>
      <c r="J18" s="1">
        <v>5.0</v>
      </c>
      <c r="K18" s="1">
        <v>0.0</v>
      </c>
      <c r="L18" s="1">
        <v>15.0</v>
      </c>
    </row>
    <row r="19">
      <c r="A19" s="1">
        <v>310.0</v>
      </c>
      <c r="B19" s="1" t="s">
        <v>178</v>
      </c>
      <c r="C19" s="2">
        <v>46204.0</v>
      </c>
      <c r="D19" s="1" t="s">
        <v>189</v>
      </c>
      <c r="E19" s="1" t="s">
        <v>114</v>
      </c>
      <c r="F19" s="1">
        <v>2.0</v>
      </c>
      <c r="G19" s="1">
        <v>18.0</v>
      </c>
      <c r="H19" s="1">
        <v>10.0</v>
      </c>
      <c r="I19" s="1">
        <v>28.0</v>
      </c>
      <c r="J19" s="1">
        <v>4.0</v>
      </c>
      <c r="K19" s="1">
        <v>1.0</v>
      </c>
      <c r="L19" s="1">
        <v>9.0</v>
      </c>
    </row>
    <row r="20">
      <c r="A20" s="1">
        <v>311.0</v>
      </c>
      <c r="B20" s="1" t="s">
        <v>178</v>
      </c>
      <c r="C20" s="2">
        <v>46204.0</v>
      </c>
      <c r="D20" s="1" t="s">
        <v>196</v>
      </c>
      <c r="E20" s="1" t="s">
        <v>117</v>
      </c>
      <c r="F20" s="1">
        <v>3.0</v>
      </c>
      <c r="G20" s="1">
        <v>12.0</v>
      </c>
      <c r="H20" s="1">
        <v>10.0</v>
      </c>
      <c r="I20" s="1">
        <v>22.0</v>
      </c>
      <c r="J20" s="1">
        <v>3.0</v>
      </c>
      <c r="K20" s="1">
        <v>2.0</v>
      </c>
      <c r="L20" s="1">
        <v>3.0</v>
      </c>
    </row>
    <row r="21" ht="15.75" customHeight="1">
      <c r="A21" s="1">
        <v>312.0</v>
      </c>
      <c r="B21" s="1" t="s">
        <v>178</v>
      </c>
      <c r="C21" s="2">
        <v>46204.0</v>
      </c>
      <c r="D21" s="1" t="s">
        <v>206</v>
      </c>
      <c r="E21" s="1" t="s">
        <v>121</v>
      </c>
      <c r="F21" s="1">
        <v>4.0</v>
      </c>
      <c r="G21" s="1">
        <v>8.0</v>
      </c>
      <c r="H21" s="1">
        <v>10.0</v>
      </c>
      <c r="I21" s="1">
        <v>18.0</v>
      </c>
      <c r="J21" s="1">
        <v>2.0</v>
      </c>
      <c r="K21" s="1">
        <v>3.0</v>
      </c>
      <c r="L21" s="1">
        <v>-3.0</v>
      </c>
    </row>
    <row r="22" ht="15.75" customHeight="1">
      <c r="A22" s="1">
        <v>313.0</v>
      </c>
      <c r="B22" s="1" t="s">
        <v>178</v>
      </c>
      <c r="C22" s="2">
        <v>46204.0</v>
      </c>
      <c r="D22" s="1" t="s">
        <v>107</v>
      </c>
      <c r="E22" s="1" t="s">
        <v>212</v>
      </c>
      <c r="F22" s="1">
        <v>5.0</v>
      </c>
      <c r="G22" s="1">
        <v>6.0</v>
      </c>
      <c r="H22" s="1">
        <v>10.0</v>
      </c>
      <c r="I22" s="1">
        <v>16.0</v>
      </c>
      <c r="J22" s="1">
        <v>1.0</v>
      </c>
      <c r="K22" s="1">
        <v>4.0</v>
      </c>
      <c r="L22" s="1">
        <v>-9.0</v>
      </c>
    </row>
    <row r="23" ht="15.75" customHeight="1">
      <c r="A23" s="1">
        <v>314.0</v>
      </c>
      <c r="B23" s="1" t="s">
        <v>178</v>
      </c>
      <c r="C23" s="2">
        <v>46204.0</v>
      </c>
      <c r="D23" s="1" t="s">
        <v>219</v>
      </c>
      <c r="E23" s="1" t="s">
        <v>124</v>
      </c>
      <c r="F23" s="1">
        <v>6.0</v>
      </c>
      <c r="G23" s="1">
        <v>4.0</v>
      </c>
      <c r="H23" s="1">
        <v>10.0</v>
      </c>
      <c r="I23" s="1">
        <v>14.0</v>
      </c>
      <c r="J23" s="1">
        <v>0.0</v>
      </c>
      <c r="K23" s="1">
        <v>5.0</v>
      </c>
      <c r="L23" s="1">
        <v>-15.0</v>
      </c>
    </row>
    <row r="24" ht="15.75" customHeight="1">
      <c r="A24" s="1">
        <v>315.0</v>
      </c>
      <c r="B24" s="1" t="s">
        <v>224</v>
      </c>
      <c r="C24" s="2">
        <v>46204.0</v>
      </c>
      <c r="D24" s="1" t="s">
        <v>29</v>
      </c>
      <c r="E24" s="4" t="s">
        <v>39</v>
      </c>
      <c r="F24" s="1">
        <v>1.0</v>
      </c>
      <c r="G24" s="1">
        <v>25.0</v>
      </c>
      <c r="H24" s="1">
        <v>10.0</v>
      </c>
      <c r="I24" s="1">
        <v>35.0</v>
      </c>
      <c r="J24" s="1">
        <v>7.0</v>
      </c>
      <c r="K24" s="1">
        <v>0.0</v>
      </c>
      <c r="L24" s="1">
        <v>16.0</v>
      </c>
    </row>
    <row r="25" ht="15.75" customHeight="1">
      <c r="A25" s="1">
        <v>316.0</v>
      </c>
      <c r="B25" s="1" t="s">
        <v>224</v>
      </c>
      <c r="C25" s="2">
        <v>46204.0</v>
      </c>
      <c r="D25" s="1" t="s">
        <v>107</v>
      </c>
      <c r="E25" s="1" t="s">
        <v>212</v>
      </c>
      <c r="F25" s="1">
        <v>2.0</v>
      </c>
      <c r="G25" s="1">
        <v>18.0</v>
      </c>
      <c r="H25" s="1">
        <v>10.0</v>
      </c>
      <c r="I25" s="1">
        <v>28.0</v>
      </c>
      <c r="J25" s="1">
        <v>5.0</v>
      </c>
      <c r="K25" s="1">
        <v>2.0</v>
      </c>
      <c r="L25" s="1">
        <v>5.0</v>
      </c>
    </row>
    <row r="26" ht="15.75" customHeight="1">
      <c r="A26" s="1">
        <v>317.0</v>
      </c>
      <c r="B26" s="1" t="s">
        <v>224</v>
      </c>
      <c r="C26" s="2">
        <v>46204.0</v>
      </c>
      <c r="D26" s="1" t="s">
        <v>120</v>
      </c>
      <c r="E26" s="1" t="s">
        <v>50</v>
      </c>
      <c r="F26" s="1">
        <v>8.0</v>
      </c>
      <c r="G26" s="1">
        <v>1.0</v>
      </c>
      <c r="H26" s="1">
        <v>10.0</v>
      </c>
      <c r="I26" s="1">
        <v>11.0</v>
      </c>
      <c r="J26" s="1">
        <v>1.0</v>
      </c>
      <c r="K26" s="1">
        <v>6.0</v>
      </c>
      <c r="L26" s="1">
        <v>-12.0</v>
      </c>
    </row>
    <row r="27" ht="15.75" customHeight="1">
      <c r="A27" s="1">
        <v>318.0</v>
      </c>
      <c r="B27" s="1" t="s">
        <v>224</v>
      </c>
      <c r="C27" s="2">
        <v>46204.0</v>
      </c>
      <c r="D27" s="1" t="s">
        <v>53</v>
      </c>
      <c r="E27" s="1" t="s">
        <v>54</v>
      </c>
      <c r="F27" s="1">
        <v>7.0</v>
      </c>
      <c r="G27" s="1">
        <v>2.0</v>
      </c>
      <c r="H27" s="1">
        <v>10.0</v>
      </c>
      <c r="I27" s="1">
        <v>12.0</v>
      </c>
      <c r="J27" s="1">
        <v>1.0</v>
      </c>
      <c r="K27" s="1">
        <v>6.0</v>
      </c>
      <c r="L27" s="1">
        <v>-9.0</v>
      </c>
    </row>
    <row r="28" ht="15.75" customHeight="1">
      <c r="A28" s="1">
        <v>319.0</v>
      </c>
      <c r="B28" s="1" t="s">
        <v>224</v>
      </c>
      <c r="C28" s="2">
        <v>46204.0</v>
      </c>
      <c r="D28" s="1" t="s">
        <v>250</v>
      </c>
      <c r="E28" s="1" t="s">
        <v>140</v>
      </c>
      <c r="F28" s="1">
        <v>5.0</v>
      </c>
      <c r="G28" s="1">
        <v>6.0</v>
      </c>
      <c r="H28" s="1">
        <v>10.0</v>
      </c>
      <c r="I28" s="1">
        <v>16.0</v>
      </c>
      <c r="J28" s="1">
        <v>4.0</v>
      </c>
      <c r="K28" s="1">
        <v>3.0</v>
      </c>
      <c r="L28" s="1">
        <v>0.0</v>
      </c>
    </row>
    <row r="29" ht="15.75" customHeight="1">
      <c r="A29" s="1">
        <v>320.0</v>
      </c>
      <c r="B29" s="1" t="s">
        <v>224</v>
      </c>
      <c r="C29" s="2">
        <v>46204.0</v>
      </c>
      <c r="D29" s="1" t="s">
        <v>257</v>
      </c>
      <c r="E29" s="1" t="s">
        <v>137</v>
      </c>
      <c r="F29" s="1">
        <v>3.0</v>
      </c>
      <c r="G29" s="1">
        <v>12.0</v>
      </c>
      <c r="H29" s="1">
        <v>10.0</v>
      </c>
      <c r="I29" s="1">
        <v>22.0</v>
      </c>
      <c r="J29" s="1">
        <v>4.0</v>
      </c>
      <c r="K29" s="1">
        <v>3.0</v>
      </c>
      <c r="L29" s="1">
        <v>7.0</v>
      </c>
    </row>
    <row r="30" ht="15.75" customHeight="1">
      <c r="A30" s="1">
        <v>321.0</v>
      </c>
      <c r="B30" s="1" t="s">
        <v>224</v>
      </c>
      <c r="C30" s="2">
        <v>46204.0</v>
      </c>
      <c r="D30" s="1" t="s">
        <v>263</v>
      </c>
      <c r="E30" s="1" t="s">
        <v>133</v>
      </c>
      <c r="F30" s="1">
        <v>6.0</v>
      </c>
      <c r="G30" s="1">
        <v>4.0</v>
      </c>
      <c r="H30" s="1">
        <v>10.0</v>
      </c>
      <c r="I30" s="1">
        <v>14.0</v>
      </c>
      <c r="J30" s="1">
        <v>2.0</v>
      </c>
      <c r="K30" s="1">
        <v>5.0</v>
      </c>
      <c r="L30" s="1">
        <v>-11.0</v>
      </c>
    </row>
    <row r="31" ht="15.75" customHeight="1">
      <c r="A31" s="1">
        <v>322.0</v>
      </c>
      <c r="B31" s="1" t="s">
        <v>224</v>
      </c>
      <c r="C31" s="2">
        <v>46204.0</v>
      </c>
      <c r="D31" s="1" t="s">
        <v>272</v>
      </c>
      <c r="E31" s="1" t="s">
        <v>130</v>
      </c>
      <c r="F31" s="1">
        <v>4.0</v>
      </c>
      <c r="G31" s="1">
        <v>8.0</v>
      </c>
      <c r="H31" s="1">
        <v>10.0</v>
      </c>
      <c r="I31" s="1">
        <v>18.0</v>
      </c>
      <c r="J31" s="1">
        <v>4.0</v>
      </c>
      <c r="K31" s="1">
        <v>3.0</v>
      </c>
      <c r="L31" s="1">
        <v>4.0</v>
      </c>
    </row>
    <row r="32" ht="15.75" customHeight="1">
      <c r="A32" s="1">
        <v>323.0</v>
      </c>
      <c r="B32" s="1" t="s">
        <v>278</v>
      </c>
      <c r="C32" s="2">
        <v>46204.0</v>
      </c>
      <c r="D32" s="1" t="s">
        <v>29</v>
      </c>
      <c r="E32" s="4" t="s">
        <v>39</v>
      </c>
      <c r="F32" s="1">
        <v>2.0</v>
      </c>
      <c r="G32" s="1">
        <v>18.0</v>
      </c>
      <c r="H32" s="1">
        <v>10.0</v>
      </c>
      <c r="I32" s="1">
        <v>28.0</v>
      </c>
      <c r="J32" s="1">
        <v>6.0</v>
      </c>
      <c r="K32" s="1">
        <v>1.0</v>
      </c>
      <c r="L32" s="1">
        <v>11.0</v>
      </c>
    </row>
    <row r="33" ht="15.75" customHeight="1">
      <c r="A33" s="1">
        <v>324.0</v>
      </c>
      <c r="B33" s="1" t="s">
        <v>278</v>
      </c>
      <c r="C33" s="2">
        <v>46204.0</v>
      </c>
      <c r="D33" s="1" t="s">
        <v>82</v>
      </c>
      <c r="E33" s="1" t="s">
        <v>75</v>
      </c>
      <c r="F33" s="1">
        <v>3.0</v>
      </c>
      <c r="G33" s="1">
        <v>12.0</v>
      </c>
      <c r="H33" s="1">
        <v>10.0</v>
      </c>
      <c r="I33" s="1">
        <v>22.0</v>
      </c>
      <c r="J33" s="1">
        <v>4.0</v>
      </c>
      <c r="K33" s="1">
        <v>3.0</v>
      </c>
      <c r="L33" s="1">
        <v>6.0</v>
      </c>
    </row>
    <row r="34" ht="15.75" customHeight="1">
      <c r="A34" s="1">
        <v>325.0</v>
      </c>
      <c r="B34" s="1" t="s">
        <v>278</v>
      </c>
      <c r="C34" s="2">
        <v>46204.0</v>
      </c>
      <c r="D34" s="1" t="s">
        <v>136</v>
      </c>
      <c r="E34" s="1" t="s">
        <v>92</v>
      </c>
      <c r="F34" s="1">
        <v>1.0</v>
      </c>
      <c r="G34" s="1">
        <v>25.0</v>
      </c>
      <c r="H34" s="1">
        <v>10.0</v>
      </c>
      <c r="I34" s="1">
        <v>35.0</v>
      </c>
      <c r="J34" s="1">
        <v>6.0</v>
      </c>
      <c r="K34" s="1">
        <v>1.0</v>
      </c>
      <c r="L34" s="1">
        <v>14.0</v>
      </c>
    </row>
    <row r="35" ht="15.75" customHeight="1">
      <c r="A35" s="1">
        <v>326.0</v>
      </c>
      <c r="B35" s="1" t="s">
        <v>278</v>
      </c>
      <c r="C35" s="2">
        <v>46204.0</v>
      </c>
      <c r="D35" s="1" t="s">
        <v>304</v>
      </c>
      <c r="E35" s="1" t="s">
        <v>143</v>
      </c>
      <c r="F35" s="1">
        <v>4.0</v>
      </c>
      <c r="G35" s="1">
        <v>8.0</v>
      </c>
      <c r="H35" s="1">
        <v>10.0</v>
      </c>
      <c r="I35" s="1">
        <v>18.0</v>
      </c>
      <c r="J35" s="1">
        <v>4.0</v>
      </c>
      <c r="K35" s="1">
        <v>3.0</v>
      </c>
      <c r="L35" s="1">
        <v>0.0</v>
      </c>
    </row>
    <row r="36" ht="15.75" customHeight="1">
      <c r="A36" s="1">
        <v>327.0</v>
      </c>
      <c r="B36" s="1" t="s">
        <v>278</v>
      </c>
      <c r="C36" s="2">
        <v>46204.0</v>
      </c>
      <c r="D36" s="1" t="s">
        <v>312</v>
      </c>
      <c r="E36" s="1" t="s">
        <v>149</v>
      </c>
      <c r="F36" s="1">
        <v>5.0</v>
      </c>
      <c r="G36" s="1">
        <v>6.0</v>
      </c>
      <c r="H36" s="1">
        <v>10.0</v>
      </c>
      <c r="I36" s="1">
        <v>16.0</v>
      </c>
      <c r="J36" s="1">
        <v>3.0</v>
      </c>
      <c r="K36" s="1">
        <v>4.0</v>
      </c>
      <c r="L36" s="1">
        <v>0.0</v>
      </c>
    </row>
    <row r="37" ht="15.75" customHeight="1">
      <c r="A37" s="1">
        <v>328.0</v>
      </c>
      <c r="B37" s="1" t="s">
        <v>278</v>
      </c>
      <c r="C37" s="2">
        <v>46204.0</v>
      </c>
      <c r="D37" s="1" t="s">
        <v>320</v>
      </c>
      <c r="E37" s="1" t="s">
        <v>153</v>
      </c>
      <c r="F37" s="1">
        <v>6.0</v>
      </c>
      <c r="G37" s="1">
        <v>4.0</v>
      </c>
      <c r="H37" s="1">
        <v>10.0</v>
      </c>
      <c r="I37" s="1">
        <v>14.0</v>
      </c>
      <c r="J37" s="1">
        <v>3.0</v>
      </c>
      <c r="K37" s="1">
        <v>4.0</v>
      </c>
      <c r="L37" s="1">
        <v>-6.0</v>
      </c>
    </row>
    <row r="38" ht="15.75" customHeight="1">
      <c r="A38" s="1">
        <v>329.0</v>
      </c>
      <c r="B38" s="1" t="s">
        <v>278</v>
      </c>
      <c r="C38" s="2">
        <v>46204.0</v>
      </c>
      <c r="D38" s="1" t="s">
        <v>53</v>
      </c>
      <c r="E38" s="1" t="s">
        <v>54</v>
      </c>
      <c r="F38" s="1">
        <v>8.0</v>
      </c>
      <c r="G38" s="1">
        <v>1.0</v>
      </c>
      <c r="H38" s="1">
        <v>10.0</v>
      </c>
      <c r="I38" s="1">
        <v>11.0</v>
      </c>
      <c r="J38" s="1">
        <v>1.0</v>
      </c>
      <c r="K38" s="1">
        <v>6.0</v>
      </c>
      <c r="L38" s="1">
        <v>-13.0</v>
      </c>
    </row>
    <row r="39" ht="15.75" customHeight="1">
      <c r="A39" s="1">
        <v>330.0</v>
      </c>
      <c r="B39" s="1" t="s">
        <v>278</v>
      </c>
      <c r="C39" s="2">
        <v>46204.0</v>
      </c>
      <c r="D39" s="1" t="s">
        <v>158</v>
      </c>
      <c r="E39" s="1" t="s">
        <v>103</v>
      </c>
      <c r="F39" s="1">
        <v>7.0</v>
      </c>
      <c r="G39" s="1">
        <v>2.0</v>
      </c>
      <c r="H39" s="1">
        <v>10.0</v>
      </c>
      <c r="I39" s="1">
        <v>12.0</v>
      </c>
      <c r="J39" s="1">
        <v>1.0</v>
      </c>
      <c r="K39" s="1">
        <v>6.0</v>
      </c>
      <c r="L39" s="1">
        <v>-12.0</v>
      </c>
    </row>
    <row r="40" ht="15.75" customHeight="1">
      <c r="A40" s="1">
        <v>331.0</v>
      </c>
      <c r="B40" s="1" t="s">
        <v>340</v>
      </c>
      <c r="C40" s="2">
        <v>46205.0</v>
      </c>
      <c r="D40" s="1" t="s">
        <v>126</v>
      </c>
      <c r="E40" s="1" t="s">
        <v>61</v>
      </c>
      <c r="F40" s="1">
        <v>6.0</v>
      </c>
      <c r="G40" s="1">
        <v>4.0</v>
      </c>
      <c r="H40" s="1">
        <v>10.0</v>
      </c>
      <c r="I40" s="1">
        <v>14.0</v>
      </c>
      <c r="J40" s="1">
        <v>0.0</v>
      </c>
      <c r="K40" s="1">
        <v>5.0</v>
      </c>
      <c r="L40" s="1">
        <v>-15.0</v>
      </c>
    </row>
    <row r="41" ht="15.75" customHeight="1">
      <c r="A41" s="1">
        <v>332.0</v>
      </c>
      <c r="B41" s="1" t="s">
        <v>340</v>
      </c>
      <c r="C41" s="2">
        <v>46205.0</v>
      </c>
      <c r="D41" s="1" t="s">
        <v>349</v>
      </c>
      <c r="E41" s="1" t="s">
        <v>168</v>
      </c>
      <c r="F41" s="1">
        <v>5.0</v>
      </c>
      <c r="G41" s="1">
        <v>6.0</v>
      </c>
      <c r="H41" s="1">
        <v>10.0</v>
      </c>
      <c r="I41" s="1">
        <v>16.0</v>
      </c>
      <c r="J41" s="1">
        <v>1.0</v>
      </c>
      <c r="K41" s="1">
        <v>4.0</v>
      </c>
      <c r="L41" s="1">
        <v>-9.0</v>
      </c>
    </row>
    <row r="42" ht="15.75" customHeight="1">
      <c r="A42" s="1">
        <v>333.0</v>
      </c>
      <c r="B42" s="1" t="s">
        <v>340</v>
      </c>
      <c r="C42" s="2">
        <v>46205.0</v>
      </c>
      <c r="D42" s="1" t="s">
        <v>357</v>
      </c>
      <c r="E42" s="1" t="s">
        <v>164</v>
      </c>
      <c r="F42" s="1">
        <v>2.0</v>
      </c>
      <c r="G42" s="1">
        <v>18.0</v>
      </c>
      <c r="H42" s="1">
        <v>10.0</v>
      </c>
      <c r="I42" s="1">
        <v>28.0</v>
      </c>
      <c r="J42" s="1">
        <v>4.0</v>
      </c>
      <c r="K42" s="1">
        <v>1.0</v>
      </c>
      <c r="L42" s="1">
        <v>9.0</v>
      </c>
    </row>
    <row r="43" ht="15.75" customHeight="1">
      <c r="A43" s="1">
        <v>334.0</v>
      </c>
      <c r="B43" s="1" t="s">
        <v>340</v>
      </c>
      <c r="C43" s="2">
        <v>46205.0</v>
      </c>
      <c r="D43" s="1" t="s">
        <v>366</v>
      </c>
      <c r="E43" s="1" t="s">
        <v>159</v>
      </c>
      <c r="F43" s="1">
        <v>1.0</v>
      </c>
      <c r="G43" s="1">
        <v>25.0</v>
      </c>
      <c r="H43" s="1">
        <v>10.0</v>
      </c>
      <c r="I43" s="1">
        <v>35.0</v>
      </c>
      <c r="J43" s="1">
        <v>5.0</v>
      </c>
      <c r="K43" s="1">
        <v>0.0</v>
      </c>
      <c r="L43" s="1">
        <v>15.0</v>
      </c>
    </row>
    <row r="44" ht="15.75" customHeight="1">
      <c r="A44" s="1">
        <v>335.0</v>
      </c>
      <c r="B44" s="1" t="s">
        <v>340</v>
      </c>
      <c r="C44" s="2">
        <v>46205.0</v>
      </c>
      <c r="D44" s="1" t="s">
        <v>206</v>
      </c>
      <c r="E44" s="1" t="s">
        <v>121</v>
      </c>
      <c r="F44" s="1">
        <v>4.0</v>
      </c>
      <c r="G44" s="1">
        <v>8.0</v>
      </c>
      <c r="H44" s="1">
        <v>10.0</v>
      </c>
      <c r="I44" s="1">
        <v>18.0</v>
      </c>
      <c r="J44" s="1">
        <v>2.0</v>
      </c>
      <c r="K44" s="1">
        <v>3.0</v>
      </c>
      <c r="L44" s="1">
        <v>-3.0</v>
      </c>
    </row>
    <row r="45" ht="15.75" customHeight="1">
      <c r="A45" s="1">
        <v>336.0</v>
      </c>
      <c r="B45" s="1" t="s">
        <v>340</v>
      </c>
      <c r="C45" s="2">
        <v>46205.0</v>
      </c>
      <c r="D45" s="1" t="s">
        <v>219</v>
      </c>
      <c r="E45" s="1" t="s">
        <v>124</v>
      </c>
      <c r="F45" s="1">
        <v>3.0</v>
      </c>
      <c r="G45" s="1">
        <v>12.0</v>
      </c>
      <c r="H45" s="1">
        <v>10.0</v>
      </c>
      <c r="I45" s="1">
        <v>22.0</v>
      </c>
      <c r="J45" s="1">
        <v>3.0</v>
      </c>
      <c r="K45" s="1">
        <v>2.0</v>
      </c>
      <c r="L45" s="1">
        <v>3.0</v>
      </c>
    </row>
    <row r="46" ht="15.75" customHeight="1">
      <c r="A46" s="1">
        <v>337.0</v>
      </c>
      <c r="B46" s="1" t="s">
        <v>384</v>
      </c>
      <c r="C46" s="2">
        <v>46206.0</v>
      </c>
      <c r="D46" s="1" t="s">
        <v>107</v>
      </c>
      <c r="E46" s="1" t="s">
        <v>212</v>
      </c>
      <c r="F46" s="1">
        <v>1.0</v>
      </c>
      <c r="G46" s="1">
        <v>25.0</v>
      </c>
      <c r="H46" s="1">
        <v>10.0</v>
      </c>
      <c r="I46" s="1">
        <v>35.0</v>
      </c>
      <c r="J46" s="1">
        <v>6.0</v>
      </c>
      <c r="K46" s="1">
        <v>1.0</v>
      </c>
      <c r="L46" s="1">
        <v>14.0</v>
      </c>
    </row>
    <row r="47" ht="15.75" customHeight="1">
      <c r="A47" s="1">
        <v>338.0</v>
      </c>
      <c r="B47" s="1" t="s">
        <v>384</v>
      </c>
      <c r="C47" s="2">
        <v>46206.0</v>
      </c>
      <c r="D47" s="1" t="s">
        <v>120</v>
      </c>
      <c r="E47" s="1" t="s">
        <v>50</v>
      </c>
      <c r="F47" s="1">
        <v>6.0</v>
      </c>
      <c r="G47" s="1">
        <v>4.0</v>
      </c>
      <c r="H47" s="1">
        <v>10.0</v>
      </c>
      <c r="I47" s="1">
        <v>14.0</v>
      </c>
      <c r="J47" s="1">
        <v>3.0</v>
      </c>
      <c r="K47" s="1">
        <v>4.0</v>
      </c>
      <c r="L47" s="1">
        <v>-9.0</v>
      </c>
    </row>
    <row r="48" ht="15.75" customHeight="1">
      <c r="A48" s="1">
        <v>339.0</v>
      </c>
      <c r="B48" s="1" t="s">
        <v>384</v>
      </c>
      <c r="C48" s="2">
        <v>46206.0</v>
      </c>
      <c r="D48" s="1" t="s">
        <v>395</v>
      </c>
      <c r="E48" s="1" t="s">
        <v>179</v>
      </c>
      <c r="F48" s="1">
        <v>3.0</v>
      </c>
      <c r="G48" s="1">
        <v>12.0</v>
      </c>
      <c r="H48" s="1">
        <v>10.0</v>
      </c>
      <c r="I48" s="1">
        <v>22.0</v>
      </c>
      <c r="J48" s="1">
        <v>4.0</v>
      </c>
      <c r="K48" s="1">
        <v>3.0</v>
      </c>
      <c r="L48" s="1">
        <v>2.0</v>
      </c>
    </row>
    <row r="49" ht="15.75" customHeight="1">
      <c r="A49" s="1">
        <v>340.0</v>
      </c>
      <c r="B49" s="1" t="s">
        <v>384</v>
      </c>
      <c r="C49" s="2">
        <v>46206.0</v>
      </c>
      <c r="D49" s="1" t="s">
        <v>401</v>
      </c>
      <c r="E49" s="1" t="s">
        <v>173</v>
      </c>
      <c r="F49" s="1">
        <v>2.0</v>
      </c>
      <c r="G49" s="1">
        <v>18.0</v>
      </c>
      <c r="H49" s="1">
        <v>10.0</v>
      </c>
      <c r="I49" s="1">
        <v>28.0</v>
      </c>
      <c r="J49" s="1">
        <v>5.0</v>
      </c>
      <c r="K49" s="1">
        <v>2.0</v>
      </c>
      <c r="L49" s="1">
        <v>11.0</v>
      </c>
    </row>
    <row r="50" ht="15.75" customHeight="1">
      <c r="A50" s="1">
        <v>341.0</v>
      </c>
      <c r="B50" s="1" t="s">
        <v>384</v>
      </c>
      <c r="C50" s="2">
        <v>46206.0</v>
      </c>
      <c r="D50" s="1" t="s">
        <v>272</v>
      </c>
      <c r="E50" s="1" t="s">
        <v>130</v>
      </c>
      <c r="F50" s="1">
        <v>7.0</v>
      </c>
      <c r="G50" s="1">
        <v>2.0</v>
      </c>
      <c r="H50" s="1">
        <v>10.0</v>
      </c>
      <c r="I50" s="1">
        <v>12.0</v>
      </c>
      <c r="J50" s="1">
        <v>2.0</v>
      </c>
      <c r="K50" s="1">
        <v>5.0</v>
      </c>
      <c r="L50" s="1">
        <v>-2.0</v>
      </c>
    </row>
    <row r="51" ht="15.75" customHeight="1">
      <c r="A51" s="1">
        <v>342.0</v>
      </c>
      <c r="B51" s="1" t="s">
        <v>384</v>
      </c>
      <c r="C51" s="2">
        <v>46206.0</v>
      </c>
      <c r="D51" s="1" t="s">
        <v>158</v>
      </c>
      <c r="E51" s="1" t="s">
        <v>103</v>
      </c>
      <c r="F51" s="1">
        <v>8.0</v>
      </c>
      <c r="G51" s="1">
        <v>1.0</v>
      </c>
      <c r="H51" s="1">
        <v>10.0</v>
      </c>
      <c r="I51" s="1">
        <v>11.0</v>
      </c>
      <c r="J51" s="1">
        <v>2.0</v>
      </c>
      <c r="K51" s="1">
        <v>5.0</v>
      </c>
      <c r="L51" s="1">
        <v>-8.0</v>
      </c>
    </row>
    <row r="52" ht="15.75" customHeight="1">
      <c r="A52" s="1">
        <v>343.0</v>
      </c>
      <c r="B52" s="1" t="s">
        <v>384</v>
      </c>
      <c r="C52" s="2">
        <v>46206.0</v>
      </c>
      <c r="D52" s="1" t="s">
        <v>250</v>
      </c>
      <c r="E52" s="1" t="s">
        <v>140</v>
      </c>
      <c r="F52" s="1">
        <v>5.0</v>
      </c>
      <c r="G52" s="1">
        <v>6.0</v>
      </c>
      <c r="H52" s="1">
        <v>10.0</v>
      </c>
      <c r="I52" s="1">
        <v>16.0</v>
      </c>
      <c r="J52" s="1">
        <v>3.0</v>
      </c>
      <c r="K52" s="1">
        <v>4.0</v>
      </c>
      <c r="L52" s="1">
        <v>-5.0</v>
      </c>
    </row>
    <row r="53" ht="15.75" customHeight="1">
      <c r="A53" s="1">
        <v>344.0</v>
      </c>
      <c r="B53" s="1" t="s">
        <v>384</v>
      </c>
      <c r="C53" s="2">
        <v>46206.0</v>
      </c>
      <c r="D53" s="1" t="s">
        <v>425</v>
      </c>
      <c r="E53" s="1" t="s">
        <v>184</v>
      </c>
      <c r="F53" s="1">
        <v>4.0</v>
      </c>
      <c r="G53" s="1">
        <v>8.0</v>
      </c>
      <c r="H53" s="1">
        <v>10.0</v>
      </c>
      <c r="I53" s="1">
        <v>18.0</v>
      </c>
      <c r="J53" s="1">
        <v>3.0</v>
      </c>
      <c r="K53" s="1">
        <v>4.0</v>
      </c>
      <c r="L53" s="1">
        <v>-2.0</v>
      </c>
    </row>
    <row r="54" ht="15.75" customHeight="1">
      <c r="A54" s="1">
        <v>345.0</v>
      </c>
      <c r="B54" s="1" t="s">
        <v>431</v>
      </c>
      <c r="C54" s="2">
        <v>46208.0</v>
      </c>
      <c r="D54" s="1" t="s">
        <v>29</v>
      </c>
      <c r="E54" s="4" t="s">
        <v>39</v>
      </c>
      <c r="F54" s="1">
        <v>4.0</v>
      </c>
      <c r="G54" s="1">
        <v>8.0</v>
      </c>
      <c r="H54" s="1">
        <v>10.0</v>
      </c>
      <c r="I54" s="1">
        <v>18.0</v>
      </c>
      <c r="J54" s="1">
        <v>4.0</v>
      </c>
      <c r="K54" s="1">
        <v>3.0</v>
      </c>
      <c r="L54" s="1">
        <v>0.0</v>
      </c>
    </row>
    <row r="55" ht="15.75" customHeight="1">
      <c r="A55" s="1">
        <v>346.0</v>
      </c>
      <c r="B55" s="1" t="s">
        <v>431</v>
      </c>
      <c r="C55" s="2">
        <v>46208.0</v>
      </c>
      <c r="D55" s="1" t="s">
        <v>53</v>
      </c>
      <c r="E55" s="1" t="s">
        <v>54</v>
      </c>
      <c r="F55" s="1">
        <v>5.0</v>
      </c>
      <c r="G55" s="1">
        <v>6.0</v>
      </c>
      <c r="H55" s="1">
        <v>10.0</v>
      </c>
      <c r="I55" s="1">
        <v>16.0</v>
      </c>
      <c r="J55" s="1">
        <v>4.0</v>
      </c>
      <c r="K55" s="1">
        <v>3.0</v>
      </c>
      <c r="L55" s="1">
        <v>0.0</v>
      </c>
    </row>
    <row r="56" ht="15.75" customHeight="1">
      <c r="A56" s="1">
        <v>347.0</v>
      </c>
      <c r="B56" s="1" t="s">
        <v>431</v>
      </c>
      <c r="C56" s="2">
        <v>46208.0</v>
      </c>
      <c r="D56" s="1" t="s">
        <v>456</v>
      </c>
      <c r="E56" s="1" t="s">
        <v>203</v>
      </c>
      <c r="F56" s="1">
        <v>8.0</v>
      </c>
      <c r="G56" s="1">
        <v>1.0</v>
      </c>
      <c r="H56" s="1">
        <v>10.0</v>
      </c>
      <c r="I56" s="1">
        <v>11.0</v>
      </c>
      <c r="J56" s="1">
        <v>1.0</v>
      </c>
      <c r="K56" s="1">
        <v>6.0</v>
      </c>
      <c r="L56" s="1">
        <v>-9.0</v>
      </c>
    </row>
    <row r="57" ht="15.75" customHeight="1">
      <c r="A57" s="1">
        <v>348.0</v>
      </c>
      <c r="B57" s="1" t="s">
        <v>431</v>
      </c>
      <c r="C57" s="2">
        <v>46208.0</v>
      </c>
      <c r="D57" s="1" t="s">
        <v>465</v>
      </c>
      <c r="E57" s="1" t="s">
        <v>197</v>
      </c>
      <c r="F57" s="1">
        <v>3.0</v>
      </c>
      <c r="G57" s="1">
        <v>12.0</v>
      </c>
      <c r="H57" s="1">
        <v>10.0</v>
      </c>
      <c r="I57" s="1">
        <v>22.0</v>
      </c>
      <c r="J57" s="1">
        <v>4.0</v>
      </c>
      <c r="K57" s="1">
        <v>3.0</v>
      </c>
      <c r="L57" s="1">
        <v>4.0</v>
      </c>
    </row>
    <row r="58" ht="15.75" customHeight="1">
      <c r="A58" s="1">
        <v>349.0</v>
      </c>
      <c r="B58" s="1" t="s">
        <v>431</v>
      </c>
      <c r="C58" s="2">
        <v>46208.0</v>
      </c>
      <c r="D58" s="1" t="s">
        <v>474</v>
      </c>
      <c r="E58" s="1" t="s">
        <v>191</v>
      </c>
      <c r="F58" s="1">
        <v>7.0</v>
      </c>
      <c r="G58" s="1">
        <v>2.0</v>
      </c>
      <c r="H58" s="1">
        <v>10.0</v>
      </c>
      <c r="I58" s="1">
        <v>12.0</v>
      </c>
      <c r="J58" s="1">
        <v>1.0</v>
      </c>
      <c r="K58" s="1">
        <v>6.0</v>
      </c>
      <c r="L58" s="1">
        <v>-7.0</v>
      </c>
    </row>
    <row r="59" ht="15.75" customHeight="1">
      <c r="A59" s="1">
        <v>350.0</v>
      </c>
      <c r="B59" s="1" t="s">
        <v>431</v>
      </c>
      <c r="C59" s="2">
        <v>46208.0</v>
      </c>
      <c r="D59" s="1" t="s">
        <v>482</v>
      </c>
      <c r="E59" s="1" t="s">
        <v>187</v>
      </c>
      <c r="F59" s="1">
        <v>2.0</v>
      </c>
      <c r="G59" s="1">
        <v>18.0</v>
      </c>
      <c r="H59" s="1">
        <v>10.0</v>
      </c>
      <c r="I59" s="1">
        <v>28.0</v>
      </c>
      <c r="J59" s="1">
        <v>5.0</v>
      </c>
      <c r="K59" s="1">
        <v>2.0</v>
      </c>
      <c r="L59" s="1">
        <v>7.0</v>
      </c>
    </row>
    <row r="60" ht="15.75" customHeight="1">
      <c r="A60" s="1">
        <v>351.0</v>
      </c>
      <c r="B60" s="1" t="s">
        <v>431</v>
      </c>
      <c r="C60" s="2">
        <v>46208.0</v>
      </c>
      <c r="D60" s="1" t="s">
        <v>395</v>
      </c>
      <c r="E60" s="1" t="s">
        <v>179</v>
      </c>
      <c r="F60" s="1">
        <v>1.0</v>
      </c>
      <c r="G60" s="1">
        <v>25.0</v>
      </c>
      <c r="H60" s="1">
        <v>10.0</v>
      </c>
      <c r="I60" s="1">
        <v>35.0</v>
      </c>
      <c r="J60" s="1">
        <v>6.0</v>
      </c>
      <c r="K60" s="1">
        <v>1.0</v>
      </c>
      <c r="L60" s="1">
        <v>12.0</v>
      </c>
    </row>
    <row r="61" ht="15.75" customHeight="1">
      <c r="A61" s="1">
        <v>352.0</v>
      </c>
      <c r="B61" s="1" t="s">
        <v>431</v>
      </c>
      <c r="C61" s="2">
        <v>46208.0</v>
      </c>
      <c r="D61" s="1" t="s">
        <v>401</v>
      </c>
      <c r="E61" s="1" t="s">
        <v>173</v>
      </c>
      <c r="F61" s="1">
        <v>6.0</v>
      </c>
      <c r="G61" s="1">
        <v>4.0</v>
      </c>
      <c r="H61" s="1">
        <v>10.0</v>
      </c>
      <c r="I61" s="1">
        <v>14.0</v>
      </c>
      <c r="J61" s="1">
        <v>3.0</v>
      </c>
      <c r="K61" s="1">
        <v>4.0</v>
      </c>
      <c r="L61" s="1">
        <v>-7.0</v>
      </c>
    </row>
    <row r="62" ht="15.75" customHeight="1">
      <c r="A62" s="1">
        <v>353.0</v>
      </c>
      <c r="B62" s="1" t="s">
        <v>500</v>
      </c>
      <c r="C62" s="2">
        <v>46212.0</v>
      </c>
      <c r="D62" s="1" t="s">
        <v>503</v>
      </c>
      <c r="E62" s="1" t="s">
        <v>209</v>
      </c>
      <c r="F62" s="1">
        <v>1.0</v>
      </c>
      <c r="G62" s="1">
        <v>25.0</v>
      </c>
      <c r="H62" s="1">
        <v>10.0</v>
      </c>
      <c r="I62" s="1">
        <v>35.0</v>
      </c>
      <c r="J62" s="1">
        <v>5.0</v>
      </c>
      <c r="K62" s="1">
        <v>0.0</v>
      </c>
      <c r="L62" s="1">
        <v>15.0</v>
      </c>
    </row>
    <row r="63" ht="15.75" customHeight="1">
      <c r="A63" s="1">
        <v>354.0</v>
      </c>
      <c r="B63" s="1" t="s">
        <v>500</v>
      </c>
      <c r="C63" s="2">
        <v>46212.0</v>
      </c>
      <c r="D63" s="1" t="s">
        <v>401</v>
      </c>
      <c r="E63" s="1" t="s">
        <v>173</v>
      </c>
      <c r="F63" s="1">
        <v>3.0</v>
      </c>
      <c r="G63" s="1">
        <v>12.0</v>
      </c>
      <c r="H63" s="1">
        <v>10.0</v>
      </c>
      <c r="I63" s="1">
        <v>22.0</v>
      </c>
      <c r="J63" s="1">
        <v>3.0</v>
      </c>
      <c r="K63" s="1">
        <v>2.0</v>
      </c>
      <c r="L63" s="1">
        <v>3.0</v>
      </c>
    </row>
    <row r="64" ht="15.75" customHeight="1">
      <c r="A64" s="1">
        <v>355.0</v>
      </c>
      <c r="B64" s="1" t="s">
        <v>500</v>
      </c>
      <c r="C64" s="2">
        <v>46212.0</v>
      </c>
      <c r="D64" s="1" t="s">
        <v>167</v>
      </c>
      <c r="E64" s="1" t="s">
        <v>108</v>
      </c>
      <c r="F64" s="1">
        <v>5.0</v>
      </c>
      <c r="G64" s="1">
        <v>6.0</v>
      </c>
      <c r="H64" s="1">
        <v>10.0</v>
      </c>
      <c r="I64" s="1">
        <v>16.0</v>
      </c>
      <c r="J64" s="1">
        <v>1.0</v>
      </c>
      <c r="K64" s="1">
        <v>4.0</v>
      </c>
      <c r="L64" s="1">
        <v>-9.0</v>
      </c>
    </row>
    <row r="65" ht="15.75" customHeight="1">
      <c r="A65" s="1">
        <v>356.0</v>
      </c>
      <c r="B65" s="1" t="s">
        <v>500</v>
      </c>
      <c r="C65" s="2">
        <v>46212.0</v>
      </c>
      <c r="D65" s="1" t="s">
        <v>158</v>
      </c>
      <c r="E65" s="1" t="s">
        <v>103</v>
      </c>
      <c r="F65" s="1">
        <v>6.0</v>
      </c>
      <c r="G65" s="1">
        <v>4.0</v>
      </c>
      <c r="H65" s="1">
        <v>10.0</v>
      </c>
      <c r="I65" s="1">
        <v>14.0</v>
      </c>
      <c r="J65" s="1">
        <v>0.0</v>
      </c>
      <c r="K65" s="1">
        <v>5.0</v>
      </c>
      <c r="L65" s="1">
        <v>-15.0</v>
      </c>
    </row>
    <row r="66" ht="15.75" customHeight="1">
      <c r="A66" s="1">
        <v>357.0</v>
      </c>
      <c r="B66" s="1" t="s">
        <v>500</v>
      </c>
      <c r="C66" s="2">
        <v>46212.0</v>
      </c>
      <c r="D66" s="1" t="s">
        <v>196</v>
      </c>
      <c r="E66" s="1" t="s">
        <v>117</v>
      </c>
      <c r="F66" s="1">
        <v>2.0</v>
      </c>
      <c r="G66" s="1">
        <v>18.0</v>
      </c>
      <c r="H66" s="1">
        <v>10.0</v>
      </c>
      <c r="I66" s="1">
        <v>28.0</v>
      </c>
      <c r="J66" s="1">
        <v>4.0</v>
      </c>
      <c r="K66" s="1">
        <v>1.0</v>
      </c>
      <c r="L66" s="1">
        <v>9.0</v>
      </c>
    </row>
    <row r="67" ht="15.75" customHeight="1">
      <c r="A67" s="1">
        <v>358.0</v>
      </c>
      <c r="B67" s="1" t="s">
        <v>500</v>
      </c>
      <c r="C67" s="2">
        <v>46212.0</v>
      </c>
      <c r="D67" s="1" t="s">
        <v>219</v>
      </c>
      <c r="E67" s="1" t="s">
        <v>124</v>
      </c>
      <c r="F67" s="1">
        <v>4.0</v>
      </c>
      <c r="G67" s="1">
        <v>8.0</v>
      </c>
      <c r="H67" s="1">
        <v>10.0</v>
      </c>
      <c r="I67" s="1">
        <v>18.0</v>
      </c>
      <c r="J67" s="1">
        <v>2.0</v>
      </c>
      <c r="K67" s="1">
        <v>3.0</v>
      </c>
      <c r="L67" s="1">
        <v>-3.0</v>
      </c>
    </row>
    <row r="68" ht="15.75" customHeight="1">
      <c r="A68" s="1">
        <v>359.0</v>
      </c>
      <c r="B68" s="1" t="s">
        <v>528</v>
      </c>
      <c r="C68" s="2">
        <v>46213.0</v>
      </c>
      <c r="D68" s="1" t="s">
        <v>29</v>
      </c>
      <c r="E68" s="4" t="s">
        <v>39</v>
      </c>
      <c r="F68" s="1">
        <v>4.0</v>
      </c>
      <c r="G68" s="1">
        <v>8.0</v>
      </c>
      <c r="H68" s="1">
        <v>10.0</v>
      </c>
      <c r="I68" s="1">
        <v>18.0</v>
      </c>
      <c r="J68" s="1">
        <v>4.0</v>
      </c>
      <c r="K68" s="1">
        <v>3.0</v>
      </c>
      <c r="L68" s="1">
        <v>-1.0</v>
      </c>
    </row>
    <row r="69" ht="15.75" customHeight="1">
      <c r="A69" s="1">
        <v>360.0</v>
      </c>
      <c r="B69" s="1" t="s">
        <v>528</v>
      </c>
      <c r="C69" s="2">
        <v>46213.0</v>
      </c>
      <c r="D69" s="1" t="s">
        <v>71</v>
      </c>
      <c r="E69" s="1" t="s">
        <v>68</v>
      </c>
      <c r="F69" s="1">
        <v>6.0</v>
      </c>
      <c r="G69" s="1">
        <v>4.0</v>
      </c>
      <c r="H69" s="1">
        <v>10.0</v>
      </c>
      <c r="I69" s="1">
        <v>14.0</v>
      </c>
      <c r="J69" s="1">
        <v>2.0</v>
      </c>
      <c r="K69" s="1">
        <v>5.0</v>
      </c>
      <c r="L69" s="1">
        <v>-1.0</v>
      </c>
    </row>
    <row r="70" ht="15.75" customHeight="1">
      <c r="A70" s="1">
        <v>361.0</v>
      </c>
      <c r="B70" s="1" t="s">
        <v>528</v>
      </c>
      <c r="C70" s="2">
        <v>46213.0</v>
      </c>
      <c r="D70" s="1" t="s">
        <v>82</v>
      </c>
      <c r="E70" s="1" t="s">
        <v>75</v>
      </c>
      <c r="F70" s="1">
        <v>2.0</v>
      </c>
      <c r="G70" s="1">
        <v>18.0</v>
      </c>
      <c r="H70" s="1">
        <v>10.0</v>
      </c>
      <c r="I70" s="1">
        <v>28.0</v>
      </c>
      <c r="J70" s="1">
        <v>4.0</v>
      </c>
      <c r="K70" s="1">
        <v>3.0</v>
      </c>
      <c r="L70" s="1">
        <v>3.0</v>
      </c>
    </row>
    <row r="71" ht="15.75" customHeight="1">
      <c r="A71" s="1">
        <v>362.0</v>
      </c>
      <c r="B71" s="1" t="s">
        <v>528</v>
      </c>
      <c r="C71" s="2">
        <v>46213.0</v>
      </c>
      <c r="D71" s="1" t="s">
        <v>136</v>
      </c>
      <c r="E71" s="1" t="s">
        <v>92</v>
      </c>
      <c r="F71" s="1">
        <v>3.0</v>
      </c>
      <c r="G71" s="1">
        <v>12.0</v>
      </c>
      <c r="H71" s="1">
        <v>10.0</v>
      </c>
      <c r="I71" s="1">
        <v>22.0</v>
      </c>
      <c r="J71" s="1">
        <v>4.0</v>
      </c>
      <c r="K71" s="1">
        <v>3.0</v>
      </c>
      <c r="L71" s="1">
        <v>1.0</v>
      </c>
    </row>
    <row r="72" ht="15.75" customHeight="1">
      <c r="A72" s="1">
        <v>363.0</v>
      </c>
      <c r="B72" s="1" t="s">
        <v>528</v>
      </c>
      <c r="C72" s="2">
        <v>46213.0</v>
      </c>
      <c r="D72" s="1" t="s">
        <v>304</v>
      </c>
      <c r="E72" s="1" t="s">
        <v>143</v>
      </c>
      <c r="F72" s="1">
        <v>5.0</v>
      </c>
      <c r="G72" s="1">
        <v>6.0</v>
      </c>
      <c r="H72" s="1">
        <v>10.0</v>
      </c>
      <c r="I72" s="1">
        <v>16.0</v>
      </c>
      <c r="J72" s="1">
        <v>3.0</v>
      </c>
      <c r="K72" s="1">
        <v>4.0</v>
      </c>
      <c r="L72" s="1">
        <v>2.0</v>
      </c>
    </row>
    <row r="73" ht="15.75" customHeight="1">
      <c r="A73" s="1">
        <v>364.0</v>
      </c>
      <c r="B73" s="1" t="s">
        <v>528</v>
      </c>
      <c r="C73" s="2">
        <v>46213.0</v>
      </c>
      <c r="D73" s="1" t="s">
        <v>561</v>
      </c>
      <c r="E73" s="1" t="s">
        <v>218</v>
      </c>
      <c r="F73" s="1">
        <v>8.0</v>
      </c>
      <c r="G73" s="1">
        <v>1.0</v>
      </c>
      <c r="H73" s="1">
        <v>10.0</v>
      </c>
      <c r="I73" s="1">
        <v>11.0</v>
      </c>
      <c r="J73" s="1">
        <v>2.0</v>
      </c>
      <c r="K73" s="1">
        <v>5.0</v>
      </c>
      <c r="L73" s="1">
        <v>0.0</v>
      </c>
    </row>
    <row r="74" ht="15.75" customHeight="1">
      <c r="A74" s="1">
        <v>365.0</v>
      </c>
      <c r="B74" s="1" t="s">
        <v>528</v>
      </c>
      <c r="C74" s="2">
        <v>46213.0</v>
      </c>
      <c r="D74" s="1" t="s">
        <v>562</v>
      </c>
      <c r="E74" s="1" t="s">
        <v>213</v>
      </c>
      <c r="F74" s="1">
        <v>1.0</v>
      </c>
      <c r="G74" s="1">
        <v>25.0</v>
      </c>
      <c r="H74" s="1">
        <v>10.0</v>
      </c>
      <c r="I74" s="1">
        <v>35.0</v>
      </c>
      <c r="J74" s="1">
        <v>7.0</v>
      </c>
      <c r="K74" s="1">
        <v>0.0</v>
      </c>
      <c r="L74" s="1">
        <v>12.0</v>
      </c>
    </row>
    <row r="75" ht="15.75" customHeight="1">
      <c r="A75" s="1">
        <v>366.0</v>
      </c>
      <c r="B75" s="1" t="s">
        <v>528</v>
      </c>
      <c r="C75" s="2">
        <v>46213.0</v>
      </c>
      <c r="D75" s="1" t="s">
        <v>320</v>
      </c>
      <c r="E75" s="1" t="s">
        <v>153</v>
      </c>
      <c r="F75" s="1">
        <v>7.0</v>
      </c>
      <c r="G75" s="1">
        <v>2.0</v>
      </c>
      <c r="H75" s="1">
        <v>10.0</v>
      </c>
      <c r="I75" s="1">
        <v>12.0</v>
      </c>
      <c r="J75" s="1">
        <v>2.0</v>
      </c>
      <c r="K75" s="1">
        <v>5.0</v>
      </c>
      <c r="L75" s="1">
        <v>-7.0</v>
      </c>
    </row>
    <row r="76" ht="15.75" customHeight="1">
      <c r="A76" s="1">
        <v>367.0</v>
      </c>
      <c r="B76" s="1" t="s">
        <v>563</v>
      </c>
      <c r="C76" s="2">
        <v>46214.0</v>
      </c>
      <c r="D76" s="1" t="s">
        <v>120</v>
      </c>
      <c r="E76" s="1" t="s">
        <v>50</v>
      </c>
      <c r="F76" s="1">
        <v>6.0</v>
      </c>
      <c r="G76" s="1">
        <v>4.0</v>
      </c>
      <c r="H76" s="1">
        <v>10.0</v>
      </c>
      <c r="I76" s="1">
        <v>14.0</v>
      </c>
      <c r="J76" s="1">
        <v>3.0</v>
      </c>
      <c r="K76" s="1">
        <v>4.0</v>
      </c>
      <c r="L76" s="1">
        <v>-3.0</v>
      </c>
    </row>
    <row r="77" ht="15.75" customHeight="1">
      <c r="A77" s="1">
        <v>368.0</v>
      </c>
      <c r="B77" s="1" t="s">
        <v>563</v>
      </c>
      <c r="C77" s="2">
        <v>46214.0</v>
      </c>
      <c r="D77" s="1" t="s">
        <v>126</v>
      </c>
      <c r="E77" s="1" t="s">
        <v>61</v>
      </c>
      <c r="F77" s="1">
        <v>4.0</v>
      </c>
      <c r="G77" s="1">
        <v>8.0</v>
      </c>
      <c r="H77" s="1">
        <v>10.0</v>
      </c>
      <c r="I77" s="1">
        <v>18.0</v>
      </c>
      <c r="J77" s="1">
        <v>4.0</v>
      </c>
      <c r="K77" s="1">
        <v>3.0</v>
      </c>
      <c r="L77" s="1">
        <v>1.0</v>
      </c>
    </row>
    <row r="78" ht="15.75" customHeight="1">
      <c r="A78" s="1">
        <v>369.0</v>
      </c>
      <c r="B78" s="1" t="s">
        <v>563</v>
      </c>
      <c r="C78" s="2">
        <v>46214.0</v>
      </c>
      <c r="D78" s="1" t="s">
        <v>219</v>
      </c>
      <c r="E78" s="1" t="s">
        <v>124</v>
      </c>
      <c r="F78" s="1">
        <v>2.0</v>
      </c>
      <c r="G78" s="1">
        <v>18.0</v>
      </c>
      <c r="H78" s="1">
        <v>10.0</v>
      </c>
      <c r="I78" s="1">
        <v>28.0</v>
      </c>
      <c r="J78" s="1">
        <v>5.0</v>
      </c>
      <c r="K78" s="1">
        <v>2.0</v>
      </c>
      <c r="L78" s="1">
        <v>8.0</v>
      </c>
    </row>
    <row r="79" ht="15.75" customHeight="1">
      <c r="A79" s="1">
        <v>370.0</v>
      </c>
      <c r="B79" s="1" t="s">
        <v>563</v>
      </c>
      <c r="C79" s="2">
        <v>46214.0</v>
      </c>
      <c r="D79" s="1" t="s">
        <v>401</v>
      </c>
      <c r="E79" s="1" t="s">
        <v>173</v>
      </c>
      <c r="F79" s="1">
        <v>5.0</v>
      </c>
      <c r="G79" s="1">
        <v>6.0</v>
      </c>
      <c r="H79" s="1">
        <v>10.0</v>
      </c>
      <c r="I79" s="1">
        <v>16.0</v>
      </c>
      <c r="J79" s="1">
        <v>4.0</v>
      </c>
      <c r="K79" s="1">
        <v>3.0</v>
      </c>
      <c r="L79" s="1">
        <v>-3.0</v>
      </c>
    </row>
    <row r="80" ht="15.75" customHeight="1">
      <c r="A80" s="1">
        <v>371.0</v>
      </c>
      <c r="B80" s="1" t="s">
        <v>563</v>
      </c>
      <c r="C80" s="2">
        <v>46214.0</v>
      </c>
      <c r="D80" s="1" t="s">
        <v>97</v>
      </c>
      <c r="E80" s="1" t="s">
        <v>84</v>
      </c>
      <c r="F80" s="1">
        <v>8.0</v>
      </c>
      <c r="G80" s="1">
        <v>1.0</v>
      </c>
      <c r="H80" s="1">
        <v>10.0</v>
      </c>
      <c r="I80" s="1">
        <v>11.0</v>
      </c>
      <c r="J80" s="1">
        <v>1.0</v>
      </c>
      <c r="K80" s="1">
        <v>6.0</v>
      </c>
      <c r="L80" s="1">
        <v>-11.0</v>
      </c>
    </row>
    <row r="81" ht="15.75" customHeight="1">
      <c r="A81" s="1">
        <v>372.0</v>
      </c>
      <c r="B81" s="1" t="s">
        <v>563</v>
      </c>
      <c r="C81" s="2">
        <v>46214.0</v>
      </c>
      <c r="D81" s="1" t="s">
        <v>564</v>
      </c>
      <c r="E81" s="1" t="s">
        <v>225</v>
      </c>
      <c r="F81" s="1">
        <v>1.0</v>
      </c>
      <c r="G81" s="1">
        <v>25.0</v>
      </c>
      <c r="H81" s="1">
        <v>10.0</v>
      </c>
      <c r="I81" s="1">
        <v>35.0</v>
      </c>
      <c r="J81" s="1">
        <v>5.0</v>
      </c>
      <c r="K81" s="1">
        <v>2.0</v>
      </c>
      <c r="L81" s="1">
        <v>9.0</v>
      </c>
    </row>
    <row r="82" ht="15.75" customHeight="1">
      <c r="A82" s="1">
        <v>373.0</v>
      </c>
      <c r="B82" s="1" t="s">
        <v>563</v>
      </c>
      <c r="C82" s="2">
        <v>46214.0</v>
      </c>
      <c r="D82" s="1" t="s">
        <v>565</v>
      </c>
      <c r="E82" s="1" t="s">
        <v>228</v>
      </c>
      <c r="F82" s="1">
        <v>3.0</v>
      </c>
      <c r="G82" s="1">
        <v>12.0</v>
      </c>
      <c r="H82" s="1">
        <v>10.0</v>
      </c>
      <c r="I82" s="1">
        <v>22.0</v>
      </c>
      <c r="J82" s="1">
        <v>5.0</v>
      </c>
      <c r="K82" s="1">
        <v>2.0</v>
      </c>
      <c r="L82" s="1">
        <v>7.0</v>
      </c>
    </row>
    <row r="83" ht="15.75" customHeight="1">
      <c r="A83" s="1">
        <v>374.0</v>
      </c>
      <c r="B83" s="1" t="s">
        <v>563</v>
      </c>
      <c r="C83" s="2">
        <v>46214.0</v>
      </c>
      <c r="D83" s="1" t="s">
        <v>566</v>
      </c>
      <c r="E83" s="1" t="s">
        <v>231</v>
      </c>
      <c r="F83" s="1">
        <v>7.0</v>
      </c>
      <c r="G83" s="1">
        <v>2.0</v>
      </c>
      <c r="H83" s="1">
        <v>10.0</v>
      </c>
      <c r="I83" s="1">
        <v>12.0</v>
      </c>
      <c r="J83" s="1">
        <v>1.0</v>
      </c>
      <c r="K83" s="1">
        <v>6.0</v>
      </c>
      <c r="L83" s="1">
        <v>-8.0</v>
      </c>
    </row>
    <row r="84" ht="15.75" customHeight="1">
      <c r="A84" s="1">
        <v>375.0</v>
      </c>
      <c r="B84" s="1" t="s">
        <v>567</v>
      </c>
      <c r="C84" s="2">
        <v>46215.0</v>
      </c>
      <c r="D84" s="1" t="s">
        <v>29</v>
      </c>
      <c r="E84" s="4" t="s">
        <v>39</v>
      </c>
      <c r="F84" s="1">
        <v>2.0</v>
      </c>
      <c r="G84" s="1">
        <v>18.0</v>
      </c>
      <c r="H84" s="1">
        <v>10.0</v>
      </c>
      <c r="I84" s="1">
        <v>28.0</v>
      </c>
      <c r="J84" s="1">
        <v>5.0</v>
      </c>
      <c r="K84" s="1">
        <v>2.0</v>
      </c>
      <c r="L84" s="1">
        <v>9.0</v>
      </c>
    </row>
    <row r="85" ht="15.75" customHeight="1">
      <c r="A85" s="1">
        <v>376.0</v>
      </c>
      <c r="B85" s="1" t="s">
        <v>567</v>
      </c>
      <c r="C85" s="2">
        <v>46215.0</v>
      </c>
      <c r="D85" s="1" t="s">
        <v>53</v>
      </c>
      <c r="E85" s="1" t="s">
        <v>54</v>
      </c>
      <c r="F85" s="1">
        <v>8.0</v>
      </c>
      <c r="G85" s="1">
        <v>1.0</v>
      </c>
      <c r="H85" s="1">
        <v>10.0</v>
      </c>
      <c r="I85" s="1">
        <v>11.0</v>
      </c>
      <c r="J85" s="1">
        <v>1.0</v>
      </c>
      <c r="K85" s="1">
        <v>6.0</v>
      </c>
      <c r="L85" s="1">
        <v>-14.0</v>
      </c>
    </row>
    <row r="86" ht="15.75" customHeight="1">
      <c r="A86" s="1">
        <v>377.0</v>
      </c>
      <c r="B86" s="1" t="s">
        <v>567</v>
      </c>
      <c r="C86" s="2">
        <v>46215.0</v>
      </c>
      <c r="D86" s="1" t="s">
        <v>62</v>
      </c>
      <c r="E86" s="1" t="s">
        <v>64</v>
      </c>
      <c r="F86" s="1">
        <v>3.0</v>
      </c>
      <c r="G86" s="1">
        <v>12.0</v>
      </c>
      <c r="H86" s="1">
        <v>10.0</v>
      </c>
      <c r="I86" s="1">
        <v>22.0</v>
      </c>
      <c r="J86" s="1">
        <v>5.0</v>
      </c>
      <c r="K86" s="1">
        <v>2.0</v>
      </c>
      <c r="L86" s="1">
        <v>7.0</v>
      </c>
    </row>
    <row r="87" ht="15.75" customHeight="1">
      <c r="A87" s="1">
        <v>378.0</v>
      </c>
      <c r="B87" s="1" t="s">
        <v>567</v>
      </c>
      <c r="C87" s="2">
        <v>46215.0</v>
      </c>
      <c r="D87" s="1" t="s">
        <v>126</v>
      </c>
      <c r="E87" s="1" t="s">
        <v>61</v>
      </c>
      <c r="F87" s="1">
        <v>7.0</v>
      </c>
      <c r="G87" s="1">
        <v>2.0</v>
      </c>
      <c r="H87" s="1">
        <v>10.0</v>
      </c>
      <c r="I87" s="1">
        <v>12.0</v>
      </c>
      <c r="J87" s="1">
        <v>1.0</v>
      </c>
      <c r="K87" s="1">
        <v>6.0</v>
      </c>
      <c r="L87" s="1">
        <v>-14.0</v>
      </c>
    </row>
    <row r="88" ht="15.75" customHeight="1">
      <c r="A88" s="1">
        <v>379.0</v>
      </c>
      <c r="B88" s="1" t="s">
        <v>567</v>
      </c>
      <c r="C88" s="2">
        <v>46215.0</v>
      </c>
      <c r="D88" s="1" t="s">
        <v>474</v>
      </c>
      <c r="E88" s="1" t="s">
        <v>191</v>
      </c>
      <c r="F88" s="1">
        <v>6.0</v>
      </c>
      <c r="G88" s="1">
        <v>4.0</v>
      </c>
      <c r="H88" s="1">
        <v>10.0</v>
      </c>
      <c r="I88" s="1">
        <v>14.0</v>
      </c>
      <c r="J88" s="1">
        <v>3.0</v>
      </c>
      <c r="K88" s="1">
        <v>4.0</v>
      </c>
      <c r="L88" s="1">
        <v>-2.0</v>
      </c>
    </row>
    <row r="89" ht="15.75" customHeight="1">
      <c r="A89" s="1">
        <v>380.0</v>
      </c>
      <c r="B89" s="1" t="s">
        <v>567</v>
      </c>
      <c r="C89" s="2">
        <v>46215.0</v>
      </c>
      <c r="D89" s="1" t="s">
        <v>465</v>
      </c>
      <c r="E89" s="1" t="s">
        <v>197</v>
      </c>
      <c r="F89" s="1">
        <v>5.0</v>
      </c>
      <c r="G89" s="1">
        <v>6.0</v>
      </c>
      <c r="H89" s="1">
        <v>10.0</v>
      </c>
      <c r="I89" s="1">
        <v>16.0</v>
      </c>
      <c r="J89" s="1">
        <v>3.0</v>
      </c>
      <c r="K89" s="1">
        <v>4.0</v>
      </c>
      <c r="L89" s="1">
        <v>-1.0</v>
      </c>
    </row>
    <row r="90" ht="15.75" customHeight="1">
      <c r="A90" s="1">
        <v>381.0</v>
      </c>
      <c r="B90" s="1" t="s">
        <v>567</v>
      </c>
      <c r="C90" s="2">
        <v>46215.0</v>
      </c>
      <c r="D90" s="1" t="s">
        <v>401</v>
      </c>
      <c r="E90" s="1" t="s">
        <v>173</v>
      </c>
      <c r="F90" s="1">
        <v>4.0</v>
      </c>
      <c r="G90" s="1">
        <v>8.0</v>
      </c>
      <c r="H90" s="1">
        <v>10.0</v>
      </c>
      <c r="I90" s="1">
        <v>18.0</v>
      </c>
      <c r="J90" s="1">
        <v>4.0</v>
      </c>
      <c r="K90" s="1">
        <v>3.0</v>
      </c>
      <c r="L90" s="1">
        <v>2.0</v>
      </c>
    </row>
    <row r="91" ht="15.75" customHeight="1">
      <c r="A91" s="1">
        <v>382.0</v>
      </c>
      <c r="B91" s="1" t="s">
        <v>567</v>
      </c>
      <c r="C91" s="2">
        <v>46215.0</v>
      </c>
      <c r="D91" s="1" t="s">
        <v>395</v>
      </c>
      <c r="E91" s="1" t="s">
        <v>179</v>
      </c>
      <c r="F91" s="1">
        <v>1.0</v>
      </c>
      <c r="G91" s="1">
        <v>25.0</v>
      </c>
      <c r="H91" s="1">
        <v>10.0</v>
      </c>
      <c r="I91" s="1">
        <v>35.0</v>
      </c>
      <c r="J91" s="1">
        <v>6.0</v>
      </c>
      <c r="K91" s="1">
        <v>1.0</v>
      </c>
      <c r="L91" s="1">
        <v>13.0</v>
      </c>
    </row>
    <row r="92" ht="15.75" customHeight="1">
      <c r="A92" s="1">
        <v>383.0</v>
      </c>
      <c r="B92" s="1" t="s">
        <v>568</v>
      </c>
      <c r="C92" s="2">
        <v>46217.0</v>
      </c>
      <c r="D92" s="1" t="s">
        <v>29</v>
      </c>
      <c r="E92" s="4" t="s">
        <v>39</v>
      </c>
      <c r="F92" s="1">
        <v>2.0</v>
      </c>
      <c r="G92" s="1">
        <v>18.0</v>
      </c>
      <c r="H92" s="1">
        <v>10.0</v>
      </c>
      <c r="I92" s="1">
        <v>28.0</v>
      </c>
      <c r="J92" s="1">
        <v>4.0</v>
      </c>
      <c r="K92" s="1">
        <v>1.0</v>
      </c>
      <c r="L92" s="1">
        <v>9.0</v>
      </c>
    </row>
    <row r="93" ht="15.75" customHeight="1">
      <c r="A93" s="1">
        <v>384.0</v>
      </c>
      <c r="B93" s="1" t="s">
        <v>568</v>
      </c>
      <c r="C93" s="2">
        <v>46217.0</v>
      </c>
      <c r="D93" s="1" t="s">
        <v>53</v>
      </c>
      <c r="E93" s="1" t="s">
        <v>54</v>
      </c>
      <c r="F93" s="1">
        <v>6.0</v>
      </c>
      <c r="G93" s="1">
        <v>4.0</v>
      </c>
      <c r="H93" s="1">
        <v>10.0</v>
      </c>
      <c r="I93" s="1">
        <v>14.0</v>
      </c>
      <c r="J93" s="1">
        <v>0.0</v>
      </c>
      <c r="K93" s="1">
        <v>5.0</v>
      </c>
      <c r="L93" s="1">
        <v>-15.0</v>
      </c>
    </row>
    <row r="94" ht="15.75" customHeight="1">
      <c r="A94" s="1">
        <v>385.0</v>
      </c>
      <c r="B94" s="1" t="s">
        <v>568</v>
      </c>
      <c r="C94" s="2">
        <v>46217.0</v>
      </c>
      <c r="D94" s="1" t="s">
        <v>401</v>
      </c>
      <c r="E94" s="1" t="s">
        <v>173</v>
      </c>
      <c r="F94" s="1">
        <v>5.0</v>
      </c>
      <c r="G94" s="1">
        <v>6.0</v>
      </c>
      <c r="H94" s="1">
        <v>10.0</v>
      </c>
      <c r="I94" s="1">
        <v>16.0</v>
      </c>
      <c r="J94" s="1">
        <v>1.0</v>
      </c>
      <c r="K94" s="1">
        <v>4.0</v>
      </c>
      <c r="L94" s="1">
        <v>-9.0</v>
      </c>
    </row>
    <row r="95" ht="15.75" customHeight="1">
      <c r="A95" s="1">
        <v>386.0</v>
      </c>
      <c r="B95" s="1" t="s">
        <v>568</v>
      </c>
      <c r="C95" s="2">
        <v>46217.0</v>
      </c>
      <c r="D95" s="1" t="s">
        <v>219</v>
      </c>
      <c r="E95" s="1" t="s">
        <v>124</v>
      </c>
      <c r="F95" s="1">
        <v>4.0</v>
      </c>
      <c r="G95" s="1">
        <v>8.0</v>
      </c>
      <c r="H95" s="1">
        <v>10.0</v>
      </c>
      <c r="I95" s="1">
        <v>18.0</v>
      </c>
      <c r="J95" s="1">
        <v>2.0</v>
      </c>
      <c r="K95" s="1">
        <v>3.0</v>
      </c>
      <c r="L95" s="1">
        <v>-3.0</v>
      </c>
    </row>
    <row r="96" ht="15.75" customHeight="1">
      <c r="A96" s="1">
        <v>387.0</v>
      </c>
      <c r="B96" s="1" t="s">
        <v>568</v>
      </c>
      <c r="C96" s="2">
        <v>46217.0</v>
      </c>
      <c r="D96" s="1" t="s">
        <v>569</v>
      </c>
      <c r="E96" s="1" t="s">
        <v>234</v>
      </c>
      <c r="F96" s="1">
        <v>1.0</v>
      </c>
      <c r="G96" s="1">
        <v>25.0</v>
      </c>
      <c r="H96" s="1">
        <v>10.0</v>
      </c>
      <c r="I96" s="1">
        <v>35.0</v>
      </c>
      <c r="J96" s="1">
        <v>5.0</v>
      </c>
      <c r="K96" s="1">
        <v>0.0</v>
      </c>
      <c r="L96" s="1">
        <v>15.0</v>
      </c>
    </row>
    <row r="97" ht="15.75" customHeight="1">
      <c r="A97" s="1">
        <v>388.0</v>
      </c>
      <c r="B97" s="1" t="s">
        <v>568</v>
      </c>
      <c r="C97" s="2">
        <v>46217.0</v>
      </c>
      <c r="D97" s="1" t="s">
        <v>570</v>
      </c>
      <c r="E97" s="1" t="s">
        <v>237</v>
      </c>
      <c r="F97" s="1">
        <v>3.0</v>
      </c>
      <c r="G97" s="1">
        <v>12.0</v>
      </c>
      <c r="H97" s="1">
        <v>10.0</v>
      </c>
      <c r="I97" s="1">
        <v>22.0</v>
      </c>
      <c r="J97" s="1">
        <v>3.0</v>
      </c>
      <c r="K97" s="1">
        <v>2.0</v>
      </c>
      <c r="L97" s="1">
        <v>3.0</v>
      </c>
    </row>
    <row r="98" ht="15.75" customHeight="1">
      <c r="A98" s="1">
        <v>389.0</v>
      </c>
      <c r="B98" s="1" t="s">
        <v>571</v>
      </c>
      <c r="C98" s="2">
        <v>46219.0</v>
      </c>
      <c r="D98" s="1" t="s">
        <v>219</v>
      </c>
      <c r="E98" s="1" t="s">
        <v>124</v>
      </c>
      <c r="F98" s="1">
        <v>1.0</v>
      </c>
      <c r="G98" s="1">
        <v>25.0</v>
      </c>
      <c r="H98" s="1">
        <v>10.0</v>
      </c>
      <c r="I98" s="1">
        <v>35.0</v>
      </c>
      <c r="J98" s="1">
        <v>4.0</v>
      </c>
      <c r="K98" s="1">
        <v>1.0</v>
      </c>
      <c r="L98" s="1">
        <v>9.0</v>
      </c>
    </row>
    <row r="99" ht="15.75" customHeight="1">
      <c r="A99" s="1">
        <v>390.0</v>
      </c>
      <c r="B99" s="1" t="s">
        <v>571</v>
      </c>
      <c r="C99" s="2">
        <v>46219.0</v>
      </c>
      <c r="D99" s="1" t="s">
        <v>206</v>
      </c>
      <c r="E99" s="1" t="s">
        <v>121</v>
      </c>
      <c r="F99" s="1">
        <v>2.0</v>
      </c>
      <c r="G99" s="1">
        <v>18.0</v>
      </c>
      <c r="H99" s="1">
        <v>10.0</v>
      </c>
      <c r="I99" s="1">
        <v>28.0</v>
      </c>
      <c r="J99" s="1">
        <v>3.0</v>
      </c>
      <c r="K99" s="1">
        <v>2.0</v>
      </c>
      <c r="L99" s="1">
        <v>3.0</v>
      </c>
    </row>
    <row r="100" ht="15.75" customHeight="1">
      <c r="A100" s="1">
        <v>391.0</v>
      </c>
      <c r="B100" s="1" t="s">
        <v>571</v>
      </c>
      <c r="C100" s="2">
        <v>46219.0</v>
      </c>
      <c r="D100" s="1" t="s">
        <v>320</v>
      </c>
      <c r="E100" s="1" t="s">
        <v>153</v>
      </c>
      <c r="F100" s="1">
        <v>3.0</v>
      </c>
      <c r="G100" s="1">
        <v>12.0</v>
      </c>
      <c r="H100" s="1">
        <v>10.0</v>
      </c>
      <c r="I100" s="1">
        <v>22.0</v>
      </c>
      <c r="J100" s="1">
        <v>3.0</v>
      </c>
      <c r="K100" s="1">
        <v>2.0</v>
      </c>
      <c r="L100" s="1">
        <v>3.0</v>
      </c>
    </row>
    <row r="101" ht="15.75" customHeight="1">
      <c r="A101" s="1">
        <v>392.0</v>
      </c>
      <c r="B101" s="1" t="s">
        <v>571</v>
      </c>
      <c r="C101" s="2">
        <v>46219.0</v>
      </c>
      <c r="D101" s="1" t="s">
        <v>401</v>
      </c>
      <c r="E101" s="1" t="s">
        <v>173</v>
      </c>
      <c r="F101" s="1">
        <v>4.0</v>
      </c>
      <c r="G101" s="1">
        <v>8.0</v>
      </c>
      <c r="H101" s="1">
        <v>10.0</v>
      </c>
      <c r="I101" s="1">
        <v>18.0</v>
      </c>
      <c r="J101" s="1">
        <v>3.0</v>
      </c>
      <c r="K101" s="1">
        <v>2.0</v>
      </c>
      <c r="L101" s="1">
        <v>3.0</v>
      </c>
    </row>
    <row r="102" ht="15.75" customHeight="1">
      <c r="A102" s="1">
        <v>393.0</v>
      </c>
      <c r="B102" s="1" t="s">
        <v>571</v>
      </c>
      <c r="C102" s="2">
        <v>46219.0</v>
      </c>
      <c r="D102" s="1" t="s">
        <v>572</v>
      </c>
      <c r="E102" s="1" t="s">
        <v>573</v>
      </c>
      <c r="F102" s="1">
        <v>5.0</v>
      </c>
      <c r="G102" s="1">
        <v>6.0</v>
      </c>
      <c r="H102" s="1">
        <v>10.0</v>
      </c>
      <c r="I102" s="1">
        <v>16.0</v>
      </c>
      <c r="J102" s="1">
        <v>1.0</v>
      </c>
      <c r="K102" s="1">
        <v>4.0</v>
      </c>
      <c r="L102" s="1">
        <v>-9.0</v>
      </c>
    </row>
    <row r="103" ht="15.75" customHeight="1">
      <c r="A103" s="1">
        <v>394.0</v>
      </c>
      <c r="B103" s="1" t="s">
        <v>571</v>
      </c>
      <c r="C103" s="2">
        <v>46219.0</v>
      </c>
      <c r="D103" s="1" t="s">
        <v>349</v>
      </c>
      <c r="E103" s="1" t="s">
        <v>168</v>
      </c>
      <c r="F103" s="1">
        <v>6.0</v>
      </c>
      <c r="G103" s="1">
        <v>4.0</v>
      </c>
      <c r="H103" s="1">
        <v>10.0</v>
      </c>
      <c r="I103" s="1">
        <v>14.0</v>
      </c>
      <c r="J103" s="1">
        <v>1.0</v>
      </c>
      <c r="K103" s="1">
        <v>4.0</v>
      </c>
      <c r="L103" s="1">
        <v>-9.0</v>
      </c>
    </row>
    <row r="104" ht="15.75" customHeight="1">
      <c r="A104" s="1">
        <v>395.0</v>
      </c>
      <c r="B104" s="1" t="s">
        <v>574</v>
      </c>
      <c r="C104" s="2">
        <v>46220.0</v>
      </c>
      <c r="D104" s="1" t="s">
        <v>82</v>
      </c>
      <c r="E104" s="1" t="s">
        <v>75</v>
      </c>
      <c r="F104" s="1">
        <v>1.0</v>
      </c>
      <c r="G104" s="1">
        <v>25.0</v>
      </c>
      <c r="H104" s="1">
        <v>10.0</v>
      </c>
      <c r="I104" s="1">
        <v>35.0</v>
      </c>
      <c r="J104" s="1">
        <v>5.0</v>
      </c>
      <c r="K104" s="1">
        <v>2.0</v>
      </c>
      <c r="L104" s="1">
        <v>7.0</v>
      </c>
    </row>
    <row r="105" ht="15.75" customHeight="1">
      <c r="A105" s="1">
        <v>396.0</v>
      </c>
      <c r="B105" s="1" t="s">
        <v>574</v>
      </c>
      <c r="C105" s="2">
        <v>46220.0</v>
      </c>
      <c r="D105" s="1" t="s">
        <v>62</v>
      </c>
      <c r="E105" s="1" t="s">
        <v>64</v>
      </c>
      <c r="F105" s="1">
        <v>2.0</v>
      </c>
      <c r="G105" s="1">
        <v>18.0</v>
      </c>
      <c r="H105" s="1">
        <v>10.0</v>
      </c>
      <c r="I105" s="1">
        <v>28.0</v>
      </c>
      <c r="J105" s="1">
        <v>5.0</v>
      </c>
      <c r="K105" s="1">
        <v>2.0</v>
      </c>
      <c r="L105" s="1">
        <v>2.0</v>
      </c>
    </row>
    <row r="106" ht="15.75" customHeight="1">
      <c r="A106" s="1">
        <v>397.0</v>
      </c>
      <c r="B106" s="1" t="s">
        <v>574</v>
      </c>
      <c r="C106" s="2">
        <v>46220.0</v>
      </c>
      <c r="D106" s="1" t="s">
        <v>304</v>
      </c>
      <c r="E106" s="1" t="s">
        <v>143</v>
      </c>
      <c r="F106" s="1">
        <v>3.0</v>
      </c>
      <c r="G106" s="1">
        <v>12.0</v>
      </c>
      <c r="H106" s="1">
        <v>10.0</v>
      </c>
      <c r="I106" s="1">
        <v>22.0</v>
      </c>
      <c r="J106" s="1">
        <v>4.0</v>
      </c>
      <c r="K106" s="1">
        <v>3.0</v>
      </c>
      <c r="L106" s="1">
        <v>6.0</v>
      </c>
    </row>
    <row r="107" ht="15.75" customHeight="1">
      <c r="A107" s="1">
        <v>398.0</v>
      </c>
      <c r="B107" s="1" t="s">
        <v>574</v>
      </c>
      <c r="C107" s="2">
        <v>46220.0</v>
      </c>
      <c r="D107" s="1" t="s">
        <v>575</v>
      </c>
      <c r="E107" s="1" t="s">
        <v>576</v>
      </c>
      <c r="F107" s="1">
        <v>4.0</v>
      </c>
      <c r="G107" s="1">
        <v>8.0</v>
      </c>
      <c r="H107" s="1">
        <v>10.0</v>
      </c>
      <c r="I107" s="1">
        <v>18.0</v>
      </c>
      <c r="J107" s="1">
        <v>4.0</v>
      </c>
      <c r="K107" s="1">
        <v>3.0</v>
      </c>
      <c r="L107" s="1">
        <v>3.0</v>
      </c>
    </row>
    <row r="108" ht="15.75" customHeight="1">
      <c r="A108" s="1">
        <v>399.0</v>
      </c>
      <c r="B108" s="1" t="s">
        <v>574</v>
      </c>
      <c r="C108" s="2">
        <v>46220.0</v>
      </c>
      <c r="D108" s="1" t="s">
        <v>71</v>
      </c>
      <c r="E108" s="1" t="s">
        <v>68</v>
      </c>
      <c r="F108" s="1">
        <v>5.0</v>
      </c>
      <c r="G108" s="1">
        <v>6.0</v>
      </c>
      <c r="H108" s="1">
        <v>10.0</v>
      </c>
      <c r="I108" s="1">
        <v>16.0</v>
      </c>
      <c r="J108" s="1">
        <v>4.0</v>
      </c>
      <c r="K108" s="1">
        <v>3.0</v>
      </c>
      <c r="L108" s="1">
        <v>-1.0</v>
      </c>
    </row>
    <row r="109" ht="15.75" customHeight="1">
      <c r="A109" s="1">
        <v>400.0</v>
      </c>
      <c r="B109" s="1" t="s">
        <v>574</v>
      </c>
      <c r="C109" s="2">
        <v>46220.0</v>
      </c>
      <c r="D109" s="1" t="s">
        <v>146</v>
      </c>
      <c r="E109" s="1" t="s">
        <v>96</v>
      </c>
      <c r="F109" s="1">
        <v>6.0</v>
      </c>
      <c r="G109" s="1">
        <v>4.0</v>
      </c>
      <c r="H109" s="1">
        <v>10.0</v>
      </c>
      <c r="I109" s="1">
        <v>14.0</v>
      </c>
      <c r="J109" s="1">
        <v>3.0</v>
      </c>
      <c r="K109" s="1">
        <v>4.0</v>
      </c>
      <c r="L109" s="1">
        <v>-1.0</v>
      </c>
    </row>
    <row r="110" ht="15.75" customHeight="1">
      <c r="A110" s="1">
        <v>401.0</v>
      </c>
      <c r="B110" s="1" t="s">
        <v>574</v>
      </c>
      <c r="C110" s="2">
        <v>46220.0</v>
      </c>
      <c r="D110" s="1" t="s">
        <v>577</v>
      </c>
      <c r="E110" s="1" t="s">
        <v>578</v>
      </c>
      <c r="F110" s="1">
        <v>7.0</v>
      </c>
      <c r="G110" s="1">
        <v>2.0</v>
      </c>
      <c r="H110" s="1">
        <v>10.0</v>
      </c>
      <c r="I110" s="1">
        <v>12.0</v>
      </c>
      <c r="J110" s="1">
        <v>2.0</v>
      </c>
      <c r="K110" s="1">
        <v>5.0</v>
      </c>
      <c r="L110" s="1">
        <v>-7.0</v>
      </c>
    </row>
    <row r="111" ht="15.75" customHeight="1">
      <c r="A111" s="1">
        <v>402.0</v>
      </c>
      <c r="B111" s="1" t="s">
        <v>574</v>
      </c>
      <c r="C111" s="2">
        <v>46220.0</v>
      </c>
      <c r="D111" s="1" t="s">
        <v>579</v>
      </c>
      <c r="E111" s="1" t="s">
        <v>580</v>
      </c>
      <c r="F111" s="1">
        <v>8.0</v>
      </c>
      <c r="G111" s="1">
        <v>1.0</v>
      </c>
      <c r="H111" s="1">
        <v>10.0</v>
      </c>
      <c r="I111" s="1">
        <v>11.0</v>
      </c>
      <c r="J111" s="1">
        <v>1.0</v>
      </c>
      <c r="K111" s="1">
        <v>6.0</v>
      </c>
      <c r="L111" s="1">
        <v>-9.0</v>
      </c>
    </row>
    <row r="112" ht="15.75" customHeight="1">
      <c r="A112" s="1">
        <v>403.0</v>
      </c>
      <c r="B112" s="1" t="s">
        <v>581</v>
      </c>
      <c r="C112" s="2">
        <v>46222.0</v>
      </c>
      <c r="D112" s="1" t="s">
        <v>582</v>
      </c>
      <c r="E112" s="1" t="s">
        <v>583</v>
      </c>
      <c r="F112" s="1">
        <v>1.0</v>
      </c>
      <c r="G112" s="1">
        <v>25.0</v>
      </c>
      <c r="H112" s="1">
        <v>10.0</v>
      </c>
      <c r="I112" s="1">
        <v>35.0</v>
      </c>
      <c r="J112" s="1">
        <v>6.0</v>
      </c>
      <c r="K112" s="1">
        <v>2.0</v>
      </c>
      <c r="L112" s="1">
        <v>7.0</v>
      </c>
    </row>
    <row r="113" ht="15.75" customHeight="1">
      <c r="A113" s="1">
        <v>404.0</v>
      </c>
      <c r="B113" s="1" t="s">
        <v>581</v>
      </c>
      <c r="C113" s="2">
        <v>46222.0</v>
      </c>
      <c r="D113" s="1" t="s">
        <v>29</v>
      </c>
      <c r="E113" s="4" t="s">
        <v>39</v>
      </c>
      <c r="F113" s="1">
        <v>2.0</v>
      </c>
      <c r="G113" s="1">
        <v>18.0</v>
      </c>
      <c r="H113" s="1">
        <v>10.0</v>
      </c>
      <c r="I113" s="1">
        <v>28.0</v>
      </c>
      <c r="J113" s="1">
        <v>6.0</v>
      </c>
      <c r="K113" s="1">
        <v>2.0</v>
      </c>
      <c r="L113" s="1">
        <v>2.0</v>
      </c>
    </row>
    <row r="114" ht="15.75" customHeight="1">
      <c r="A114" s="1">
        <v>405.0</v>
      </c>
      <c r="B114" s="1" t="s">
        <v>581</v>
      </c>
      <c r="C114" s="2">
        <v>46222.0</v>
      </c>
      <c r="D114" s="1" t="s">
        <v>584</v>
      </c>
      <c r="E114" s="1" t="s">
        <v>585</v>
      </c>
      <c r="F114" s="1">
        <v>3.0</v>
      </c>
      <c r="G114" s="1">
        <v>12.0</v>
      </c>
      <c r="H114" s="1">
        <v>10.0</v>
      </c>
      <c r="I114" s="1">
        <v>22.0</v>
      </c>
      <c r="J114" s="1">
        <v>6.0</v>
      </c>
      <c r="K114" s="1">
        <v>2.0</v>
      </c>
      <c r="L114" s="1">
        <v>6.0</v>
      </c>
    </row>
    <row r="115" ht="15.75" customHeight="1">
      <c r="A115" s="1">
        <v>406.0</v>
      </c>
      <c r="B115" s="1" t="s">
        <v>581</v>
      </c>
      <c r="C115" s="2">
        <v>46222.0</v>
      </c>
      <c r="D115" s="1" t="s">
        <v>465</v>
      </c>
      <c r="E115" s="1" t="s">
        <v>197</v>
      </c>
      <c r="F115" s="1">
        <v>4.0</v>
      </c>
      <c r="G115" s="1">
        <v>8.0</v>
      </c>
      <c r="H115" s="1">
        <v>10.0</v>
      </c>
      <c r="I115" s="1">
        <v>18.0</v>
      </c>
      <c r="J115" s="1">
        <v>5.0</v>
      </c>
      <c r="K115" s="1">
        <v>3.0</v>
      </c>
      <c r="L115" s="1">
        <v>3.0</v>
      </c>
    </row>
    <row r="116" ht="15.75" customHeight="1">
      <c r="A116" s="1">
        <v>407.0</v>
      </c>
      <c r="B116" s="1" t="s">
        <v>581</v>
      </c>
      <c r="C116" s="2">
        <v>46222.0</v>
      </c>
      <c r="D116" s="1" t="s">
        <v>456</v>
      </c>
      <c r="E116" s="1" t="s">
        <v>203</v>
      </c>
      <c r="F116" s="1">
        <v>5.0</v>
      </c>
      <c r="G116" s="1">
        <v>6.0</v>
      </c>
      <c r="H116" s="1">
        <v>10.0</v>
      </c>
      <c r="I116" s="1">
        <v>16.0</v>
      </c>
      <c r="J116" s="1">
        <v>3.0</v>
      </c>
      <c r="K116" s="1">
        <v>5.0</v>
      </c>
      <c r="L116" s="1">
        <v>-1.0</v>
      </c>
    </row>
    <row r="117" ht="15.75" customHeight="1">
      <c r="A117" s="1">
        <v>408.0</v>
      </c>
      <c r="B117" s="1" t="s">
        <v>581</v>
      </c>
      <c r="C117" s="2">
        <v>46222.0</v>
      </c>
      <c r="D117" s="1" t="s">
        <v>474</v>
      </c>
      <c r="E117" s="1" t="s">
        <v>191</v>
      </c>
      <c r="F117" s="1">
        <v>6.0</v>
      </c>
      <c r="G117" s="1">
        <v>4.0</v>
      </c>
      <c r="H117" s="1">
        <v>10.0</v>
      </c>
      <c r="I117" s="1">
        <v>14.0</v>
      </c>
      <c r="J117" s="1">
        <v>1.0</v>
      </c>
      <c r="K117" s="1">
        <v>7.0</v>
      </c>
      <c r="L117" s="1">
        <v>-1.0</v>
      </c>
    </row>
    <row r="118" ht="15.75" customHeight="1">
      <c r="A118" s="1">
        <v>409.0</v>
      </c>
      <c r="B118" s="1" t="s">
        <v>586</v>
      </c>
      <c r="C118" s="2">
        <v>46223.0</v>
      </c>
      <c r="D118" s="1" t="s">
        <v>82</v>
      </c>
      <c r="E118" s="1" t="s">
        <v>75</v>
      </c>
      <c r="F118" s="1">
        <v>1.0</v>
      </c>
      <c r="G118" s="1">
        <v>25.0</v>
      </c>
      <c r="H118" s="1">
        <v>10.0</v>
      </c>
      <c r="I118" s="1">
        <v>35.0</v>
      </c>
      <c r="J118" s="1">
        <v>6.0</v>
      </c>
      <c r="K118" s="1">
        <v>2.0</v>
      </c>
      <c r="L118" s="1">
        <v>14.0</v>
      </c>
    </row>
    <row r="119" ht="15.75" customHeight="1">
      <c r="A119" s="1">
        <v>410.0</v>
      </c>
      <c r="B119" s="1" t="s">
        <v>586</v>
      </c>
      <c r="C119" s="2">
        <v>46223.0</v>
      </c>
      <c r="D119" s="1" t="s">
        <v>71</v>
      </c>
      <c r="E119" s="1" t="s">
        <v>68</v>
      </c>
      <c r="F119" s="1">
        <v>2.0</v>
      </c>
      <c r="G119" s="1">
        <v>18.0</v>
      </c>
      <c r="H119" s="1">
        <v>10.0</v>
      </c>
      <c r="I119" s="1">
        <v>28.0</v>
      </c>
      <c r="J119" s="1">
        <v>6.0</v>
      </c>
      <c r="K119" s="1">
        <v>2.0</v>
      </c>
      <c r="L119" s="1">
        <v>12.0</v>
      </c>
    </row>
    <row r="120" ht="15.75" customHeight="1">
      <c r="A120" s="1">
        <v>411.0</v>
      </c>
      <c r="B120" s="1" t="s">
        <v>586</v>
      </c>
      <c r="C120" s="2">
        <v>46223.0</v>
      </c>
      <c r="D120" s="1" t="s">
        <v>562</v>
      </c>
      <c r="E120" s="1" t="s">
        <v>213</v>
      </c>
      <c r="F120" s="1">
        <v>3.0</v>
      </c>
      <c r="G120" s="1">
        <v>12.0</v>
      </c>
      <c r="H120" s="1">
        <v>10.0</v>
      </c>
      <c r="I120" s="1">
        <v>22.0</v>
      </c>
      <c r="J120" s="1">
        <v>6.0</v>
      </c>
      <c r="K120" s="1">
        <v>2.0</v>
      </c>
      <c r="L120" s="1">
        <v>7.0</v>
      </c>
    </row>
    <row r="121" ht="15.75" customHeight="1">
      <c r="A121" s="1">
        <v>412.0</v>
      </c>
      <c r="B121" s="1" t="s">
        <v>586</v>
      </c>
      <c r="C121" s="2">
        <v>46223.0</v>
      </c>
      <c r="D121" s="1" t="s">
        <v>29</v>
      </c>
      <c r="E121" s="4" t="s">
        <v>39</v>
      </c>
      <c r="F121" s="1">
        <v>4.0</v>
      </c>
      <c r="G121" s="1">
        <v>8.0</v>
      </c>
      <c r="H121" s="1">
        <v>10.0</v>
      </c>
      <c r="I121" s="1">
        <v>18.0</v>
      </c>
      <c r="J121" s="1">
        <v>5.0</v>
      </c>
      <c r="K121" s="1">
        <v>3.0</v>
      </c>
      <c r="L121" s="1">
        <v>3.0</v>
      </c>
    </row>
    <row r="122" ht="15.75" customHeight="1">
      <c r="A122" s="1">
        <v>413.0</v>
      </c>
      <c r="B122" s="1" t="s">
        <v>586</v>
      </c>
      <c r="C122" s="2">
        <v>46223.0</v>
      </c>
      <c r="D122" s="1" t="s">
        <v>320</v>
      </c>
      <c r="E122" s="1" t="s">
        <v>153</v>
      </c>
      <c r="F122" s="1">
        <v>5.0</v>
      </c>
      <c r="G122" s="1">
        <v>6.0</v>
      </c>
      <c r="H122" s="1">
        <v>10.0</v>
      </c>
      <c r="I122" s="1">
        <v>16.0</v>
      </c>
      <c r="J122" s="1">
        <v>3.0</v>
      </c>
      <c r="K122" s="1">
        <v>5.0</v>
      </c>
      <c r="L122" s="1">
        <v>-6.0</v>
      </c>
    </row>
    <row r="123" ht="15.75" customHeight="1">
      <c r="A123" s="1">
        <v>414.0</v>
      </c>
      <c r="B123" s="1" t="s">
        <v>586</v>
      </c>
      <c r="C123" s="2">
        <v>46223.0</v>
      </c>
      <c r="D123" s="1" t="s">
        <v>587</v>
      </c>
      <c r="E123" s="1" t="s">
        <v>319</v>
      </c>
      <c r="F123" s="1">
        <v>6.0</v>
      </c>
      <c r="G123" s="1">
        <v>4.0</v>
      </c>
      <c r="H123" s="1">
        <v>10.0</v>
      </c>
      <c r="I123" s="1">
        <v>14.0</v>
      </c>
      <c r="J123" s="1">
        <v>1.0</v>
      </c>
      <c r="K123" s="1">
        <v>7.0</v>
      </c>
      <c r="L123" s="1">
        <v>-15.0</v>
      </c>
    </row>
    <row r="124" ht="15.75" customHeight="1">
      <c r="A124" s="1">
        <v>415.0</v>
      </c>
      <c r="B124" s="1" t="s">
        <v>586</v>
      </c>
      <c r="C124" s="2">
        <v>46223.0</v>
      </c>
      <c r="D124" s="1" t="s">
        <v>53</v>
      </c>
      <c r="E124" s="1" t="s">
        <v>54</v>
      </c>
      <c r="F124" s="1">
        <v>7.0</v>
      </c>
      <c r="G124" s="1">
        <v>2.0</v>
      </c>
      <c r="H124" s="1">
        <v>10.0</v>
      </c>
      <c r="I124" s="1">
        <v>12.0</v>
      </c>
      <c r="J124" s="1">
        <v>1.0</v>
      </c>
      <c r="K124" s="1">
        <v>7.0</v>
      </c>
      <c r="L124" s="1">
        <v>-15.0</v>
      </c>
    </row>
    <row r="125" ht="15.75" customHeight="1">
      <c r="A125" s="1">
        <v>416.0</v>
      </c>
      <c r="B125" s="1" t="s">
        <v>588</v>
      </c>
      <c r="C125" s="2">
        <v>46224.0</v>
      </c>
      <c r="D125" s="1" t="s">
        <v>589</v>
      </c>
      <c r="E125" s="1" t="s">
        <v>590</v>
      </c>
      <c r="F125" s="1">
        <v>1.0</v>
      </c>
      <c r="G125" s="1">
        <v>25.0</v>
      </c>
      <c r="H125" s="1">
        <v>10.0</v>
      </c>
      <c r="I125" s="1">
        <v>35.0</v>
      </c>
      <c r="J125" s="1">
        <v>5.0</v>
      </c>
      <c r="K125" s="1">
        <v>0.0</v>
      </c>
      <c r="L125" s="1">
        <v>15.0</v>
      </c>
    </row>
    <row r="126" ht="15.75" customHeight="1">
      <c r="A126" s="1">
        <v>417.0</v>
      </c>
      <c r="B126" s="1" t="s">
        <v>588</v>
      </c>
      <c r="C126" s="2">
        <v>46224.0</v>
      </c>
      <c r="D126" s="1" t="s">
        <v>395</v>
      </c>
      <c r="E126" s="1" t="s">
        <v>179</v>
      </c>
      <c r="F126" s="1">
        <v>2.0</v>
      </c>
      <c r="G126" s="1">
        <v>18.0</v>
      </c>
      <c r="H126" s="1">
        <v>10.0</v>
      </c>
      <c r="I126" s="1">
        <v>28.0</v>
      </c>
      <c r="J126" s="1">
        <v>4.0</v>
      </c>
      <c r="K126" s="1">
        <v>1.0</v>
      </c>
      <c r="L126" s="1">
        <v>9.0</v>
      </c>
    </row>
    <row r="127" ht="15.75" customHeight="1">
      <c r="A127" s="1">
        <v>418.0</v>
      </c>
      <c r="B127" s="1" t="s">
        <v>588</v>
      </c>
      <c r="C127" s="2">
        <v>46224.0</v>
      </c>
      <c r="D127" s="1" t="s">
        <v>591</v>
      </c>
      <c r="E127" s="1" t="s">
        <v>592</v>
      </c>
      <c r="F127" s="1">
        <v>3.0</v>
      </c>
      <c r="G127" s="1">
        <v>12.0</v>
      </c>
      <c r="H127" s="1">
        <v>10.0</v>
      </c>
      <c r="I127" s="1">
        <v>22.0</v>
      </c>
      <c r="J127" s="1">
        <v>3.0</v>
      </c>
      <c r="K127" s="1">
        <v>2.0</v>
      </c>
      <c r="L127" s="1">
        <v>3.0</v>
      </c>
    </row>
    <row r="128" ht="15.75" customHeight="1">
      <c r="A128" s="1">
        <v>419.0</v>
      </c>
      <c r="B128" s="1" t="s">
        <v>588</v>
      </c>
      <c r="C128" s="2">
        <v>46224.0</v>
      </c>
      <c r="D128" s="1" t="s">
        <v>29</v>
      </c>
      <c r="E128" s="4" t="s">
        <v>39</v>
      </c>
      <c r="F128" s="1">
        <v>4.0</v>
      </c>
      <c r="G128" s="1">
        <v>8.0</v>
      </c>
      <c r="H128" s="1">
        <v>10.0</v>
      </c>
      <c r="I128" s="1">
        <v>18.0</v>
      </c>
      <c r="J128" s="1">
        <v>2.0</v>
      </c>
      <c r="K128" s="1">
        <v>3.0</v>
      </c>
      <c r="L128" s="1">
        <v>-3.0</v>
      </c>
    </row>
    <row r="129" ht="15.75" customHeight="1">
      <c r="A129" s="1">
        <v>420.0</v>
      </c>
      <c r="B129" s="1" t="s">
        <v>588</v>
      </c>
      <c r="C129" s="2">
        <v>46224.0</v>
      </c>
      <c r="D129" s="1" t="s">
        <v>593</v>
      </c>
      <c r="E129" s="1" t="s">
        <v>594</v>
      </c>
      <c r="F129" s="1">
        <v>5.0</v>
      </c>
      <c r="G129" s="1">
        <v>6.0</v>
      </c>
      <c r="H129" s="1">
        <v>10.0</v>
      </c>
      <c r="I129" s="1">
        <v>16.0</v>
      </c>
      <c r="J129" s="1">
        <v>1.0</v>
      </c>
      <c r="K129" s="1">
        <v>4.0</v>
      </c>
      <c r="L129" s="1">
        <v>-9.0</v>
      </c>
    </row>
    <row r="130" ht="15.75" customHeight="1">
      <c r="A130" s="1">
        <v>421.0</v>
      </c>
      <c r="B130" s="1" t="s">
        <v>588</v>
      </c>
      <c r="C130" s="2">
        <v>46224.0</v>
      </c>
      <c r="D130" s="1" t="s">
        <v>219</v>
      </c>
      <c r="E130" s="1" t="s">
        <v>124</v>
      </c>
      <c r="F130" s="1">
        <v>6.0</v>
      </c>
      <c r="G130" s="1">
        <v>4.0</v>
      </c>
      <c r="H130" s="1">
        <v>10.0</v>
      </c>
      <c r="I130" s="1">
        <v>14.0</v>
      </c>
      <c r="J130" s="1">
        <v>0.0</v>
      </c>
      <c r="K130" s="1">
        <v>5.0</v>
      </c>
      <c r="L130" s="1">
        <v>-15.0</v>
      </c>
    </row>
    <row r="131" ht="15.75" customHeight="1">
      <c r="A131" s="1">
        <v>422.0</v>
      </c>
      <c r="B131" s="1" t="s">
        <v>595</v>
      </c>
      <c r="C131" s="2">
        <v>46226.0</v>
      </c>
      <c r="D131" s="1" t="s">
        <v>401</v>
      </c>
      <c r="E131" s="1" t="s">
        <v>173</v>
      </c>
      <c r="F131" s="1">
        <v>1.0</v>
      </c>
      <c r="G131" s="1">
        <v>25.0</v>
      </c>
      <c r="H131" s="1">
        <v>10.0</v>
      </c>
      <c r="I131" s="1">
        <v>35.0</v>
      </c>
      <c r="J131" s="1">
        <v>5.0</v>
      </c>
      <c r="K131" s="1">
        <v>0.0</v>
      </c>
      <c r="L131" s="1">
        <v>15.0</v>
      </c>
    </row>
    <row r="132" ht="15.75" customHeight="1">
      <c r="A132" s="1">
        <v>423.0</v>
      </c>
      <c r="B132" s="1" t="s">
        <v>595</v>
      </c>
      <c r="C132" s="2">
        <v>46226.0</v>
      </c>
      <c r="D132" s="1" t="s">
        <v>596</v>
      </c>
      <c r="E132" s="1" t="s">
        <v>597</v>
      </c>
      <c r="F132" s="1">
        <v>2.0</v>
      </c>
      <c r="G132" s="1">
        <v>18.0</v>
      </c>
      <c r="H132" s="1">
        <v>10.0</v>
      </c>
      <c r="I132" s="1">
        <v>28.0</v>
      </c>
      <c r="J132" s="1">
        <v>3.0</v>
      </c>
      <c r="K132" s="1">
        <v>2.0</v>
      </c>
      <c r="L132" s="1">
        <v>9.0</v>
      </c>
    </row>
    <row r="133" ht="15.75" customHeight="1">
      <c r="A133" s="1">
        <v>424.0</v>
      </c>
      <c r="B133" s="1" t="s">
        <v>595</v>
      </c>
      <c r="C133" s="2">
        <v>46226.0</v>
      </c>
      <c r="D133" s="1" t="s">
        <v>107</v>
      </c>
      <c r="E133" s="1" t="s">
        <v>212</v>
      </c>
      <c r="F133" s="1">
        <v>3.0</v>
      </c>
      <c r="G133" s="1">
        <v>12.0</v>
      </c>
      <c r="H133" s="1">
        <v>10.0</v>
      </c>
      <c r="I133" s="1">
        <v>22.0</v>
      </c>
      <c r="J133" s="1">
        <v>3.0</v>
      </c>
      <c r="K133" s="1">
        <v>2.0</v>
      </c>
      <c r="L133" s="1">
        <v>3.0</v>
      </c>
    </row>
    <row r="134" ht="15.75" customHeight="1">
      <c r="A134" s="1">
        <v>425.0</v>
      </c>
      <c r="B134" s="1" t="s">
        <v>595</v>
      </c>
      <c r="C134" s="2">
        <v>46226.0</v>
      </c>
      <c r="D134" s="1" t="s">
        <v>206</v>
      </c>
      <c r="E134" s="1" t="s">
        <v>121</v>
      </c>
      <c r="F134" s="1">
        <v>4.0</v>
      </c>
      <c r="G134" s="1">
        <v>8.0</v>
      </c>
      <c r="H134" s="1">
        <v>10.0</v>
      </c>
      <c r="I134" s="1">
        <v>18.0</v>
      </c>
      <c r="J134" s="1">
        <v>2.0</v>
      </c>
      <c r="K134" s="1">
        <v>3.0</v>
      </c>
      <c r="L134" s="1">
        <v>-3.0</v>
      </c>
    </row>
    <row r="135" ht="15.75" customHeight="1">
      <c r="A135" s="1">
        <v>426.0</v>
      </c>
      <c r="B135" s="1" t="s">
        <v>595</v>
      </c>
      <c r="C135" s="2">
        <v>46226.0</v>
      </c>
      <c r="D135" s="1" t="s">
        <v>349</v>
      </c>
      <c r="E135" s="1" t="s">
        <v>168</v>
      </c>
      <c r="F135" s="1">
        <v>5.0</v>
      </c>
      <c r="G135" s="1">
        <v>6.0</v>
      </c>
      <c r="H135" s="1">
        <v>10.0</v>
      </c>
      <c r="I135" s="1">
        <v>16.0</v>
      </c>
      <c r="J135" s="1">
        <v>2.0</v>
      </c>
      <c r="K135" s="1">
        <v>3.0</v>
      </c>
      <c r="L135" s="1">
        <v>-3.0</v>
      </c>
    </row>
    <row r="136" ht="15.75" customHeight="1">
      <c r="A136" s="1">
        <v>427.0</v>
      </c>
      <c r="B136" s="1" t="s">
        <v>595</v>
      </c>
      <c r="C136" s="2">
        <v>46226.0</v>
      </c>
      <c r="D136" s="1" t="s">
        <v>219</v>
      </c>
      <c r="E136" s="1" t="s">
        <v>124</v>
      </c>
      <c r="F136" s="1">
        <v>6.0</v>
      </c>
      <c r="G136" s="1">
        <v>4.0</v>
      </c>
      <c r="H136" s="1">
        <v>10.0</v>
      </c>
      <c r="I136" s="1">
        <v>14.0</v>
      </c>
      <c r="J136" s="1">
        <v>0.0</v>
      </c>
      <c r="K136" s="1">
        <v>5.0</v>
      </c>
      <c r="L136" s="1">
        <v>-15.0</v>
      </c>
    </row>
    <row r="137" ht="15.75" customHeight="1">
      <c r="A137" s="1">
        <v>428.0</v>
      </c>
      <c r="B137" s="1" t="s">
        <v>598</v>
      </c>
      <c r="C137" s="2">
        <v>46227.0</v>
      </c>
      <c r="D137" s="1" t="s">
        <v>584</v>
      </c>
      <c r="E137" s="1" t="s">
        <v>585</v>
      </c>
      <c r="F137" s="1">
        <v>1.0</v>
      </c>
      <c r="G137" s="1">
        <v>25.0</v>
      </c>
      <c r="H137" s="1">
        <v>10.0</v>
      </c>
      <c r="I137" s="1">
        <v>35.0</v>
      </c>
      <c r="J137" s="1">
        <v>6.0</v>
      </c>
      <c r="K137" s="1">
        <v>1.0</v>
      </c>
      <c r="L137" s="1">
        <v>10.0</v>
      </c>
    </row>
    <row r="138" ht="15.75" customHeight="1">
      <c r="A138" s="1">
        <v>429.0</v>
      </c>
      <c r="B138" s="1" t="s">
        <v>598</v>
      </c>
      <c r="C138" s="2">
        <v>46227.0</v>
      </c>
      <c r="D138" s="1" t="s">
        <v>82</v>
      </c>
      <c r="E138" s="1" t="s">
        <v>75</v>
      </c>
      <c r="F138" s="1">
        <v>2.0</v>
      </c>
      <c r="G138" s="1">
        <v>18.0</v>
      </c>
      <c r="H138" s="1">
        <v>10.0</v>
      </c>
      <c r="I138" s="1">
        <v>28.0</v>
      </c>
      <c r="J138" s="1">
        <v>5.0</v>
      </c>
      <c r="K138" s="1">
        <v>2.0</v>
      </c>
      <c r="L138" s="1">
        <v>8.0</v>
      </c>
    </row>
    <row r="139" ht="15.75" customHeight="1">
      <c r="A139" s="1">
        <v>430.0</v>
      </c>
      <c r="B139" s="1" t="s">
        <v>598</v>
      </c>
      <c r="C139" s="2">
        <v>46227.0</v>
      </c>
      <c r="D139" s="1" t="s">
        <v>587</v>
      </c>
      <c r="E139" s="1" t="s">
        <v>319</v>
      </c>
      <c r="F139" s="1">
        <v>3.0</v>
      </c>
      <c r="G139" s="1">
        <v>12.0</v>
      </c>
      <c r="H139" s="1">
        <v>10.0</v>
      </c>
      <c r="I139" s="1">
        <v>22.0</v>
      </c>
      <c r="J139" s="1">
        <v>5.0</v>
      </c>
      <c r="K139" s="1">
        <v>2.0</v>
      </c>
      <c r="L139" s="1">
        <v>5.0</v>
      </c>
    </row>
    <row r="140" ht="15.75" customHeight="1">
      <c r="A140" s="1">
        <v>431.0</v>
      </c>
      <c r="B140" s="1" t="s">
        <v>598</v>
      </c>
      <c r="C140" s="2">
        <v>46227.0</v>
      </c>
      <c r="D140" s="1" t="s">
        <v>62</v>
      </c>
      <c r="E140" s="1" t="s">
        <v>64</v>
      </c>
      <c r="F140" s="1">
        <v>4.0</v>
      </c>
      <c r="G140" s="1">
        <v>8.0</v>
      </c>
      <c r="H140" s="1">
        <v>10.0</v>
      </c>
      <c r="I140" s="1">
        <v>18.0</v>
      </c>
      <c r="J140" s="1">
        <v>4.0</v>
      </c>
      <c r="K140" s="1">
        <v>3.0</v>
      </c>
      <c r="L140" s="1">
        <v>3.0</v>
      </c>
    </row>
    <row r="141" ht="15.75" customHeight="1">
      <c r="A141" s="1">
        <v>432.0</v>
      </c>
      <c r="B141" s="1" t="s">
        <v>598</v>
      </c>
      <c r="C141" s="2">
        <v>46227.0</v>
      </c>
      <c r="D141" s="1" t="s">
        <v>107</v>
      </c>
      <c r="E141" s="1" t="s">
        <v>212</v>
      </c>
      <c r="F141" s="1">
        <v>5.0</v>
      </c>
      <c r="G141" s="1">
        <v>6.0</v>
      </c>
      <c r="H141" s="1">
        <v>10.0</v>
      </c>
      <c r="I141" s="1">
        <v>16.0</v>
      </c>
      <c r="J141" s="1">
        <v>3.0</v>
      </c>
      <c r="K141" s="1">
        <v>4.0</v>
      </c>
      <c r="L141" s="1">
        <v>2.0</v>
      </c>
    </row>
    <row r="142" ht="15.75" customHeight="1">
      <c r="A142" s="1">
        <v>433.0</v>
      </c>
      <c r="B142" s="1" t="s">
        <v>598</v>
      </c>
      <c r="C142" s="2">
        <v>46227.0</v>
      </c>
      <c r="D142" s="1" t="s">
        <v>561</v>
      </c>
      <c r="E142" s="1" t="s">
        <v>218</v>
      </c>
      <c r="F142" s="1">
        <v>6.0</v>
      </c>
      <c r="G142" s="1">
        <v>4.0</v>
      </c>
      <c r="H142" s="1">
        <v>10.0</v>
      </c>
      <c r="I142" s="1">
        <v>14.0</v>
      </c>
      <c r="J142" s="1">
        <v>3.0</v>
      </c>
      <c r="K142" s="1">
        <v>4.0</v>
      </c>
      <c r="L142" s="1">
        <v>-5.0</v>
      </c>
    </row>
    <row r="143" ht="15.75" customHeight="1">
      <c r="A143" s="1">
        <v>434.0</v>
      </c>
      <c r="B143" s="1" t="s">
        <v>598</v>
      </c>
      <c r="C143" s="2">
        <v>46227.0</v>
      </c>
      <c r="D143" s="1" t="s">
        <v>599</v>
      </c>
      <c r="E143" s="1" t="s">
        <v>600</v>
      </c>
      <c r="F143" s="1">
        <v>7.0</v>
      </c>
      <c r="G143" s="1">
        <v>2.0</v>
      </c>
      <c r="H143" s="1">
        <v>10.0</v>
      </c>
      <c r="I143" s="1">
        <v>12.0</v>
      </c>
      <c r="J143" s="1">
        <v>2.0</v>
      </c>
      <c r="K143" s="1">
        <v>5.0</v>
      </c>
      <c r="L143" s="1">
        <v>-5.0</v>
      </c>
    </row>
    <row r="144" ht="15.75" customHeight="1">
      <c r="A144" s="1">
        <v>435.0</v>
      </c>
      <c r="B144" s="1" t="s">
        <v>598</v>
      </c>
      <c r="C144" s="2">
        <v>46227.0</v>
      </c>
      <c r="D144" s="1" t="s">
        <v>53</v>
      </c>
      <c r="E144" s="1" t="s">
        <v>54</v>
      </c>
      <c r="F144" s="1">
        <v>8.0</v>
      </c>
      <c r="G144" s="1">
        <v>1.0</v>
      </c>
      <c r="H144" s="1">
        <v>10.0</v>
      </c>
      <c r="I144" s="1">
        <v>11.0</v>
      </c>
      <c r="J144" s="1">
        <v>0.0</v>
      </c>
      <c r="K144" s="1">
        <v>7.0</v>
      </c>
      <c r="L144" s="1">
        <v>-18.0</v>
      </c>
    </row>
    <row r="145" ht="15.75" customHeight="1">
      <c r="A145" s="1">
        <v>436.0</v>
      </c>
      <c r="B145" s="1" t="s">
        <v>603</v>
      </c>
      <c r="C145" s="2">
        <v>46229.0</v>
      </c>
      <c r="D145" s="1" t="s">
        <v>604</v>
      </c>
      <c r="E145" s="1" t="s">
        <v>605</v>
      </c>
      <c r="F145" s="1">
        <v>1.0</v>
      </c>
      <c r="G145" s="1">
        <v>25.0</v>
      </c>
      <c r="H145" s="1">
        <v>10.0</v>
      </c>
      <c r="I145" s="1">
        <v>35.0</v>
      </c>
      <c r="J145" s="1">
        <v>6.0</v>
      </c>
      <c r="K145" s="1">
        <v>2.0</v>
      </c>
      <c r="L145" s="1">
        <v>12.0</v>
      </c>
    </row>
    <row r="146" ht="15.75" customHeight="1">
      <c r="A146" s="1">
        <v>437.0</v>
      </c>
      <c r="B146" s="1" t="s">
        <v>603</v>
      </c>
      <c r="C146" s="2">
        <v>46229.0</v>
      </c>
      <c r="D146" s="1" t="s">
        <v>606</v>
      </c>
      <c r="E146" s="1" t="s">
        <v>607</v>
      </c>
      <c r="F146" s="1">
        <v>2.0</v>
      </c>
      <c r="G146" s="1">
        <v>18.0</v>
      </c>
      <c r="H146" s="1">
        <v>10.0</v>
      </c>
      <c r="I146" s="1">
        <v>28.0</v>
      </c>
      <c r="J146" s="1">
        <v>6.0</v>
      </c>
      <c r="K146" s="1">
        <v>2.0</v>
      </c>
      <c r="L146" s="1">
        <v>9.0</v>
      </c>
    </row>
    <row r="147" ht="15.75" customHeight="1">
      <c r="A147" s="1">
        <v>438.0</v>
      </c>
      <c r="B147" s="1" t="s">
        <v>603</v>
      </c>
      <c r="C147" s="2">
        <v>46229.0</v>
      </c>
      <c r="D147" s="1" t="s">
        <v>29</v>
      </c>
      <c r="E147" s="4" t="s">
        <v>39</v>
      </c>
      <c r="F147" s="1">
        <v>3.0</v>
      </c>
      <c r="G147" s="1">
        <v>12.0</v>
      </c>
      <c r="H147" s="1">
        <v>10.0</v>
      </c>
      <c r="I147" s="1">
        <v>22.0</v>
      </c>
      <c r="J147" s="1">
        <v>5.0</v>
      </c>
      <c r="K147" s="1">
        <v>3.0</v>
      </c>
      <c r="L147" s="1">
        <v>5.0</v>
      </c>
    </row>
    <row r="148" ht="15.75" customHeight="1">
      <c r="A148" s="1">
        <v>439.0</v>
      </c>
      <c r="B148" s="1" t="s">
        <v>603</v>
      </c>
      <c r="C148" s="2">
        <v>46229.0</v>
      </c>
      <c r="D148" s="1" t="s">
        <v>562</v>
      </c>
      <c r="E148" s="1" t="s">
        <v>213</v>
      </c>
      <c r="F148" s="1">
        <v>4.0</v>
      </c>
      <c r="G148" s="1">
        <v>8.0</v>
      </c>
      <c r="H148" s="1">
        <v>10.0</v>
      </c>
      <c r="I148" s="1">
        <v>18.0</v>
      </c>
      <c r="J148" s="1">
        <v>5.0</v>
      </c>
      <c r="K148" s="1">
        <v>3.0</v>
      </c>
      <c r="L148" s="1">
        <v>3.0</v>
      </c>
    </row>
    <row r="149" ht="15.75" customHeight="1">
      <c r="A149" s="1">
        <v>440.0</v>
      </c>
      <c r="B149" s="1" t="s">
        <v>603</v>
      </c>
      <c r="C149" s="2">
        <v>46229.0</v>
      </c>
      <c r="D149" s="1" t="s">
        <v>609</v>
      </c>
      <c r="E149" s="1" t="s">
        <v>610</v>
      </c>
      <c r="F149" s="1">
        <v>5.0</v>
      </c>
      <c r="G149" s="1">
        <v>6.0</v>
      </c>
      <c r="H149" s="1">
        <v>10.0</v>
      </c>
      <c r="I149" s="1">
        <v>16.0</v>
      </c>
      <c r="J149" s="1">
        <v>5.0</v>
      </c>
      <c r="K149" s="1">
        <v>3.0</v>
      </c>
      <c r="L149" s="1">
        <v>2.0</v>
      </c>
    </row>
    <row r="150" ht="15.75" customHeight="1">
      <c r="A150" s="1">
        <v>441.0</v>
      </c>
      <c r="B150" s="1" t="s">
        <v>603</v>
      </c>
      <c r="C150" s="2">
        <v>46229.0</v>
      </c>
      <c r="D150" s="1" t="s">
        <v>53</v>
      </c>
      <c r="E150" s="1" t="s">
        <v>54</v>
      </c>
      <c r="F150" s="1">
        <v>6.0</v>
      </c>
      <c r="G150" s="1">
        <v>4.0</v>
      </c>
      <c r="H150" s="1">
        <v>10.0</v>
      </c>
      <c r="I150" s="1">
        <v>14.0</v>
      </c>
      <c r="J150" s="1">
        <v>3.0</v>
      </c>
      <c r="K150" s="1">
        <v>5.0</v>
      </c>
      <c r="L150" s="1">
        <v>-9.0</v>
      </c>
    </row>
    <row r="151" ht="15.75" customHeight="1">
      <c r="A151" s="1">
        <v>442.0</v>
      </c>
      <c r="B151" s="1" t="s">
        <v>603</v>
      </c>
      <c r="C151" s="2">
        <v>46229.0</v>
      </c>
      <c r="D151" s="1" t="s">
        <v>456</v>
      </c>
      <c r="E151" s="1" t="s">
        <v>203</v>
      </c>
      <c r="F151" s="1">
        <v>7.0</v>
      </c>
      <c r="G151" s="1">
        <v>2.0</v>
      </c>
      <c r="H151" s="1">
        <v>10.0</v>
      </c>
      <c r="I151" s="1">
        <v>12.0</v>
      </c>
      <c r="J151" s="1">
        <v>1.0</v>
      </c>
      <c r="K151" s="1">
        <v>7.0</v>
      </c>
      <c r="L151" s="1">
        <v>-8.0</v>
      </c>
    </row>
    <row r="152" ht="15.75" customHeight="1">
      <c r="A152" s="1">
        <v>443.0</v>
      </c>
      <c r="B152" s="1" t="s">
        <v>603</v>
      </c>
      <c r="C152" s="2">
        <v>46229.0</v>
      </c>
      <c r="D152" s="1" t="s">
        <v>611</v>
      </c>
      <c r="E152" s="1" t="s">
        <v>612</v>
      </c>
      <c r="F152" s="1">
        <v>8.0</v>
      </c>
      <c r="G152" s="1">
        <v>1.0</v>
      </c>
      <c r="H152" s="1">
        <v>10.0</v>
      </c>
      <c r="I152" s="1">
        <v>11.0</v>
      </c>
      <c r="J152" s="1">
        <v>1.0</v>
      </c>
      <c r="K152" s="1">
        <v>7.0</v>
      </c>
      <c r="L152" s="1">
        <v>-14.0</v>
      </c>
    </row>
    <row r="153" ht="15.75" customHeight="1">
      <c r="A153" s="1">
        <v>444.0</v>
      </c>
      <c r="B153" s="1" t="s">
        <v>613</v>
      </c>
      <c r="C153" s="2">
        <v>46230.0</v>
      </c>
      <c r="D153" s="1" t="s">
        <v>569</v>
      </c>
      <c r="E153" s="1" t="s">
        <v>234</v>
      </c>
      <c r="F153" s="1">
        <v>1.0</v>
      </c>
      <c r="G153" s="1">
        <v>25.0</v>
      </c>
      <c r="H153" s="1">
        <v>10.0</v>
      </c>
      <c r="I153" s="1">
        <v>35.0</v>
      </c>
      <c r="J153" s="1">
        <v>6.0</v>
      </c>
      <c r="K153" s="1">
        <v>1.0</v>
      </c>
      <c r="L153" s="1">
        <v>9.0</v>
      </c>
    </row>
    <row r="154" ht="15.75" customHeight="1">
      <c r="A154" s="1">
        <v>445.0</v>
      </c>
      <c r="B154" s="1" t="s">
        <v>613</v>
      </c>
      <c r="C154" s="2">
        <v>46230.0</v>
      </c>
      <c r="D154" s="1" t="s">
        <v>614</v>
      </c>
      <c r="E154" s="1" t="s">
        <v>615</v>
      </c>
      <c r="F154" s="1">
        <v>2.0</v>
      </c>
      <c r="G154" s="1">
        <v>18.0</v>
      </c>
      <c r="H154" s="1">
        <v>10.0</v>
      </c>
      <c r="I154" s="1">
        <v>28.0</v>
      </c>
      <c r="J154" s="1">
        <v>5.0</v>
      </c>
      <c r="K154" s="1">
        <v>2.0</v>
      </c>
      <c r="L154" s="1">
        <v>5.0</v>
      </c>
    </row>
    <row r="155" ht="15.75" customHeight="1">
      <c r="A155" s="1">
        <v>446.0</v>
      </c>
      <c r="B155" s="1" t="s">
        <v>613</v>
      </c>
      <c r="C155" s="2">
        <v>46230.0</v>
      </c>
      <c r="D155" s="1" t="s">
        <v>616</v>
      </c>
      <c r="E155" s="1" t="s">
        <v>617</v>
      </c>
      <c r="F155" s="1">
        <v>3.0</v>
      </c>
      <c r="G155" s="1">
        <v>12.0</v>
      </c>
      <c r="H155" s="1">
        <v>10.0</v>
      </c>
      <c r="I155" s="1">
        <v>22.0</v>
      </c>
      <c r="J155" s="1">
        <v>4.0</v>
      </c>
      <c r="K155" s="1">
        <v>3.0</v>
      </c>
      <c r="L155" s="1">
        <v>7.0</v>
      </c>
    </row>
    <row r="156" ht="15.75" customHeight="1">
      <c r="A156" s="1">
        <v>447.0</v>
      </c>
      <c r="B156" s="1" t="s">
        <v>613</v>
      </c>
      <c r="C156" s="2">
        <v>46230.0</v>
      </c>
      <c r="D156" s="1" t="s">
        <v>29</v>
      </c>
      <c r="E156" s="4" t="s">
        <v>39</v>
      </c>
      <c r="F156" s="1">
        <v>4.0</v>
      </c>
      <c r="G156" s="1">
        <v>8.0</v>
      </c>
      <c r="H156" s="1">
        <v>10.0</v>
      </c>
      <c r="I156" s="1">
        <v>18.0</v>
      </c>
      <c r="J156" s="1">
        <v>4.0</v>
      </c>
      <c r="K156" s="1">
        <v>3.0</v>
      </c>
      <c r="L156" s="1">
        <v>1.0</v>
      </c>
    </row>
    <row r="157" ht="15.75" customHeight="1">
      <c r="A157" s="1">
        <v>448.0</v>
      </c>
      <c r="B157" s="1" t="s">
        <v>613</v>
      </c>
      <c r="C157" s="2">
        <v>46230.0</v>
      </c>
      <c r="D157" s="1" t="s">
        <v>587</v>
      </c>
      <c r="E157" s="1" t="s">
        <v>319</v>
      </c>
      <c r="F157" s="1">
        <v>5.0</v>
      </c>
      <c r="G157" s="1">
        <v>6.0</v>
      </c>
      <c r="H157" s="1">
        <v>10.0</v>
      </c>
      <c r="I157" s="1">
        <v>16.0</v>
      </c>
      <c r="J157" s="1">
        <v>4.0</v>
      </c>
      <c r="K157" s="1">
        <v>3.0</v>
      </c>
      <c r="L157" s="1">
        <v>1.0</v>
      </c>
    </row>
    <row r="158" ht="15.75" customHeight="1">
      <c r="A158" s="1">
        <v>449.0</v>
      </c>
      <c r="B158" s="1" t="s">
        <v>613</v>
      </c>
      <c r="C158" s="2">
        <v>46230.0</v>
      </c>
      <c r="D158" s="1" t="s">
        <v>618</v>
      </c>
      <c r="E158" s="1" t="s">
        <v>619</v>
      </c>
      <c r="F158" s="1">
        <v>6.0</v>
      </c>
      <c r="G158" s="1">
        <v>4.0</v>
      </c>
      <c r="H158" s="1">
        <v>10.0</v>
      </c>
      <c r="I158" s="1">
        <v>14.0</v>
      </c>
      <c r="J158" s="1">
        <v>3.0</v>
      </c>
      <c r="K158" s="1">
        <v>4.0</v>
      </c>
      <c r="L158" s="1">
        <v>-3.0</v>
      </c>
    </row>
    <row r="159" ht="15.75" customHeight="1">
      <c r="A159" s="1">
        <v>450.0</v>
      </c>
      <c r="B159" s="1" t="s">
        <v>613</v>
      </c>
      <c r="C159" s="2">
        <v>46230.0</v>
      </c>
      <c r="D159" s="1" t="s">
        <v>620</v>
      </c>
      <c r="E159" s="1" t="s">
        <v>621</v>
      </c>
      <c r="F159" s="1">
        <v>7.0</v>
      </c>
      <c r="G159" s="1">
        <v>2.0</v>
      </c>
      <c r="H159" s="1">
        <v>10.0</v>
      </c>
      <c r="I159" s="1">
        <v>12.0</v>
      </c>
      <c r="J159" s="1">
        <v>1.0</v>
      </c>
      <c r="K159" s="1">
        <v>6.0</v>
      </c>
      <c r="L159" s="1">
        <v>-9.0</v>
      </c>
    </row>
    <row r="160" ht="15.75" customHeight="1">
      <c r="A160" s="1">
        <v>451.0</v>
      </c>
      <c r="B160" s="1" t="s">
        <v>613</v>
      </c>
      <c r="C160" s="2">
        <v>46230.0</v>
      </c>
      <c r="D160" s="1" t="s">
        <v>622</v>
      </c>
      <c r="E160" s="1" t="s">
        <v>623</v>
      </c>
      <c r="F160" s="1">
        <v>8.0</v>
      </c>
      <c r="G160" s="1">
        <v>1.0</v>
      </c>
      <c r="H160" s="1">
        <v>10.0</v>
      </c>
      <c r="I160" s="1">
        <v>11.0</v>
      </c>
      <c r="J160" s="1">
        <v>1.0</v>
      </c>
      <c r="K160" s="1">
        <v>6.0</v>
      </c>
      <c r="L160" s="1">
        <v>-11.0</v>
      </c>
    </row>
    <row r="161" ht="15.75" customHeight="1">
      <c r="A161" s="1">
        <v>452.0</v>
      </c>
      <c r="B161" s="1" t="s">
        <v>624</v>
      </c>
      <c r="C161" s="2">
        <v>46232.0</v>
      </c>
      <c r="D161" s="1" t="s">
        <v>587</v>
      </c>
      <c r="E161" s="1" t="s">
        <v>319</v>
      </c>
      <c r="F161" s="1">
        <v>1.0</v>
      </c>
      <c r="G161" s="1">
        <v>25.0</v>
      </c>
      <c r="H161" s="1">
        <v>10.0</v>
      </c>
      <c r="I161" s="1">
        <v>35.0</v>
      </c>
      <c r="J161" s="1">
        <v>3.0</v>
      </c>
      <c r="K161" s="1">
        <v>1.0</v>
      </c>
      <c r="L161" s="1">
        <v>5.0</v>
      </c>
    </row>
    <row r="162" ht="15.75" customHeight="1">
      <c r="A162" s="1">
        <v>453.0</v>
      </c>
      <c r="B162" s="1" t="s">
        <v>624</v>
      </c>
      <c r="C162" s="2">
        <v>46232.0</v>
      </c>
      <c r="D162" s="1" t="s">
        <v>620</v>
      </c>
      <c r="E162" s="1" t="s">
        <v>625</v>
      </c>
      <c r="F162" s="1">
        <v>2.0</v>
      </c>
      <c r="G162" s="1">
        <v>18.0</v>
      </c>
      <c r="H162" s="1">
        <v>10.0</v>
      </c>
      <c r="I162" s="1">
        <v>28.0</v>
      </c>
      <c r="J162" s="1">
        <v>2.0</v>
      </c>
      <c r="K162" s="1">
        <v>2.0</v>
      </c>
      <c r="L162" s="1">
        <v>3.0</v>
      </c>
    </row>
    <row r="163" ht="15.75" customHeight="1">
      <c r="A163" s="1">
        <v>454.0</v>
      </c>
      <c r="B163" s="1" t="s">
        <v>624</v>
      </c>
      <c r="C163" s="2">
        <v>46232.0</v>
      </c>
      <c r="D163" s="1" t="s">
        <v>29</v>
      </c>
      <c r="E163" s="4" t="s">
        <v>39</v>
      </c>
      <c r="F163" s="1">
        <v>3.0</v>
      </c>
      <c r="G163" s="1">
        <v>12.0</v>
      </c>
      <c r="H163" s="1">
        <v>10.0</v>
      </c>
      <c r="I163" s="1">
        <v>22.0</v>
      </c>
      <c r="J163" s="1">
        <v>2.0</v>
      </c>
      <c r="K163" s="1">
        <v>2.0</v>
      </c>
      <c r="L163" s="1">
        <v>2.0</v>
      </c>
    </row>
    <row r="164" ht="15.75" customHeight="1">
      <c r="A164" s="1">
        <v>455.0</v>
      </c>
      <c r="B164" s="1" t="s">
        <v>624</v>
      </c>
      <c r="C164" s="2">
        <v>46232.0</v>
      </c>
      <c r="D164" s="1" t="s">
        <v>584</v>
      </c>
      <c r="E164" s="1" t="s">
        <v>585</v>
      </c>
      <c r="F164" s="1">
        <v>4.0</v>
      </c>
      <c r="G164" s="1">
        <v>8.0</v>
      </c>
      <c r="H164" s="1">
        <v>10.0</v>
      </c>
      <c r="I164" s="1">
        <v>18.0</v>
      </c>
      <c r="J164" s="1">
        <v>2.0</v>
      </c>
      <c r="K164" s="1">
        <v>2.0</v>
      </c>
      <c r="L164" s="1">
        <v>-4.0</v>
      </c>
    </row>
    <row r="165" ht="15.75" customHeight="1">
      <c r="A165" s="1">
        <v>456.0</v>
      </c>
      <c r="B165" s="1" t="s">
        <v>624</v>
      </c>
      <c r="C165" s="2">
        <v>46232.0</v>
      </c>
      <c r="D165" s="1" t="s">
        <v>626</v>
      </c>
      <c r="E165" s="1" t="s">
        <v>87</v>
      </c>
      <c r="F165" s="1">
        <v>5.0</v>
      </c>
      <c r="G165" s="1">
        <v>6.0</v>
      </c>
      <c r="H165" s="1">
        <v>10.0</v>
      </c>
      <c r="I165" s="1">
        <v>16.0</v>
      </c>
      <c r="J165" s="1">
        <v>1.0</v>
      </c>
      <c r="K165" s="1">
        <v>3.0</v>
      </c>
      <c r="L165" s="1">
        <v>-6.0</v>
      </c>
    </row>
    <row r="166" ht="15.75" customHeight="1">
      <c r="A166" s="1">
        <v>457.0</v>
      </c>
      <c r="B166" s="1" t="s">
        <v>627</v>
      </c>
      <c r="C166" s="2">
        <v>46233.0</v>
      </c>
      <c r="D166" s="1" t="s">
        <v>628</v>
      </c>
      <c r="E166" s="1" t="s">
        <v>629</v>
      </c>
      <c r="F166" s="1">
        <v>1.0</v>
      </c>
      <c r="G166" s="1">
        <v>25.0</v>
      </c>
      <c r="H166" s="1">
        <v>10.0</v>
      </c>
      <c r="I166" s="1">
        <v>35.0</v>
      </c>
      <c r="J166" s="1">
        <v>5.0</v>
      </c>
      <c r="K166" s="1">
        <v>0.0</v>
      </c>
      <c r="L166" s="1">
        <v>19.0</v>
      </c>
    </row>
    <row r="167" ht="15.75" customHeight="1">
      <c r="A167" s="1">
        <v>458.0</v>
      </c>
      <c r="B167" s="1" t="s">
        <v>627</v>
      </c>
      <c r="C167" s="2">
        <v>46233.0</v>
      </c>
      <c r="D167" s="1" t="s">
        <v>630</v>
      </c>
      <c r="E167" s="1" t="s">
        <v>631</v>
      </c>
      <c r="F167" s="1">
        <v>2.0</v>
      </c>
      <c r="G167" s="1">
        <v>18.0</v>
      </c>
      <c r="H167" s="1">
        <v>10.0</v>
      </c>
      <c r="I167" s="1">
        <v>28.0</v>
      </c>
      <c r="J167" s="1">
        <v>4.0</v>
      </c>
      <c r="K167" s="1">
        <v>1.0</v>
      </c>
      <c r="L167" s="1">
        <v>9.0</v>
      </c>
    </row>
    <row r="168" ht="15.75" customHeight="1">
      <c r="A168" s="1">
        <v>459.0</v>
      </c>
      <c r="B168" s="1" t="s">
        <v>627</v>
      </c>
      <c r="C168" s="2">
        <v>46233.0</v>
      </c>
      <c r="D168" s="1" t="s">
        <v>632</v>
      </c>
      <c r="E168" s="1" t="s">
        <v>633</v>
      </c>
      <c r="F168" s="1">
        <v>3.0</v>
      </c>
      <c r="G168" s="1">
        <v>12.0</v>
      </c>
      <c r="H168" s="1">
        <v>10.0</v>
      </c>
      <c r="I168" s="1">
        <v>22.0</v>
      </c>
      <c r="J168" s="1">
        <v>3.0</v>
      </c>
      <c r="K168" s="1">
        <v>2.0</v>
      </c>
      <c r="L168" s="1">
        <v>5.0</v>
      </c>
    </row>
    <row r="169" ht="15.75" customHeight="1">
      <c r="A169" s="1">
        <v>460.0</v>
      </c>
      <c r="B169" s="1" t="s">
        <v>627</v>
      </c>
      <c r="C169" s="2">
        <v>46233.0</v>
      </c>
      <c r="D169" s="1" t="s">
        <v>62</v>
      </c>
      <c r="E169" s="1" t="s">
        <v>64</v>
      </c>
      <c r="F169" s="1">
        <v>4.0</v>
      </c>
      <c r="G169" s="1">
        <v>8.0</v>
      </c>
      <c r="H169" s="1">
        <v>10.0</v>
      </c>
      <c r="I169" s="1">
        <v>18.0</v>
      </c>
      <c r="J169" s="1">
        <v>2.0</v>
      </c>
      <c r="K169" s="1">
        <v>3.0</v>
      </c>
      <c r="L169" s="1">
        <v>-6.0</v>
      </c>
    </row>
    <row r="170" ht="15.75" customHeight="1">
      <c r="A170" s="1">
        <v>461.0</v>
      </c>
      <c r="B170" s="1" t="s">
        <v>627</v>
      </c>
      <c r="C170" s="2">
        <v>46233.0</v>
      </c>
      <c r="D170" s="1" t="s">
        <v>634</v>
      </c>
      <c r="E170" s="1" t="s">
        <v>477</v>
      </c>
      <c r="F170" s="1">
        <v>5.0</v>
      </c>
      <c r="G170" s="1">
        <v>6.0</v>
      </c>
      <c r="H170" s="1">
        <v>10.0</v>
      </c>
      <c r="I170" s="1">
        <v>16.0</v>
      </c>
      <c r="J170" s="1">
        <v>1.0</v>
      </c>
      <c r="K170" s="1">
        <v>4.0</v>
      </c>
      <c r="L170" s="1">
        <v>-14.0</v>
      </c>
    </row>
    <row r="171" ht="15.75" customHeight="1">
      <c r="A171" s="1">
        <v>462.0</v>
      </c>
      <c r="B171" s="1" t="s">
        <v>627</v>
      </c>
      <c r="C171" s="2">
        <v>46233.0</v>
      </c>
      <c r="D171" s="1" t="s">
        <v>635</v>
      </c>
      <c r="E171" s="1" t="s">
        <v>636</v>
      </c>
      <c r="F171" s="1">
        <v>6.0</v>
      </c>
      <c r="G171" s="1">
        <v>4.0</v>
      </c>
      <c r="H171" s="1">
        <v>10.0</v>
      </c>
      <c r="I171" s="1">
        <v>14.0</v>
      </c>
      <c r="J171" s="1">
        <v>0.0</v>
      </c>
      <c r="K171" s="1">
        <v>5.0</v>
      </c>
      <c r="L171" s="1">
        <v>-13.0</v>
      </c>
    </row>
    <row r="172" ht="15.75" customHeight="1">
      <c r="A172" s="1">
        <v>463.0</v>
      </c>
      <c r="B172" s="1" t="s">
        <v>637</v>
      </c>
      <c r="C172" s="2">
        <v>46234.0</v>
      </c>
      <c r="D172" s="1" t="s">
        <v>638</v>
      </c>
      <c r="E172" s="1" t="s">
        <v>639</v>
      </c>
      <c r="F172" s="1">
        <v>1.0</v>
      </c>
      <c r="G172" s="1">
        <v>25.0</v>
      </c>
      <c r="H172" s="1">
        <v>10.0</v>
      </c>
      <c r="I172" s="1">
        <v>35.0</v>
      </c>
      <c r="J172" s="1">
        <v>6.0</v>
      </c>
      <c r="K172" s="1">
        <v>1.0</v>
      </c>
      <c r="L172" s="1">
        <v>8.0</v>
      </c>
    </row>
    <row r="173" ht="15.75" customHeight="1">
      <c r="A173" s="1">
        <v>464.0</v>
      </c>
      <c r="B173" s="1" t="s">
        <v>637</v>
      </c>
      <c r="C173" s="2">
        <v>46234.0</v>
      </c>
      <c r="D173" s="1" t="s">
        <v>640</v>
      </c>
      <c r="E173" s="1" t="s">
        <v>641</v>
      </c>
      <c r="F173" s="1">
        <v>2.0</v>
      </c>
      <c r="G173" s="1">
        <v>18.0</v>
      </c>
      <c r="H173" s="1">
        <v>10.0</v>
      </c>
      <c r="I173" s="1">
        <v>28.0</v>
      </c>
      <c r="J173" s="1">
        <v>5.0</v>
      </c>
      <c r="K173" s="1">
        <v>2.0</v>
      </c>
      <c r="L173" s="1">
        <v>7.0</v>
      </c>
    </row>
    <row r="174" ht="15.75" customHeight="1">
      <c r="A174" s="1">
        <v>465.0</v>
      </c>
      <c r="B174" s="1" t="s">
        <v>637</v>
      </c>
      <c r="C174" s="2">
        <v>46234.0</v>
      </c>
      <c r="D174" s="1" t="s">
        <v>587</v>
      </c>
      <c r="E174" s="1" t="s">
        <v>319</v>
      </c>
      <c r="F174" s="1">
        <v>3.0</v>
      </c>
      <c r="G174" s="1">
        <v>12.0</v>
      </c>
      <c r="H174" s="1">
        <v>10.0</v>
      </c>
      <c r="I174" s="1">
        <v>22.0</v>
      </c>
      <c r="J174" s="1">
        <v>5.0</v>
      </c>
      <c r="K174" s="1">
        <v>2.0</v>
      </c>
      <c r="L174" s="1">
        <v>6.0</v>
      </c>
    </row>
    <row r="175" ht="15.75" customHeight="1">
      <c r="A175" s="1">
        <v>466.0</v>
      </c>
      <c r="B175" s="1" t="s">
        <v>637</v>
      </c>
      <c r="C175" s="2">
        <v>46234.0</v>
      </c>
      <c r="D175" s="1" t="s">
        <v>29</v>
      </c>
      <c r="E175" s="4" t="s">
        <v>39</v>
      </c>
      <c r="F175" s="1">
        <v>4.0</v>
      </c>
      <c r="G175" s="1">
        <v>8.0</v>
      </c>
      <c r="H175" s="1">
        <v>10.0</v>
      </c>
      <c r="I175" s="1">
        <v>18.0</v>
      </c>
      <c r="J175" s="1">
        <v>4.0</v>
      </c>
      <c r="K175" s="1">
        <v>3.0</v>
      </c>
      <c r="L175" s="1">
        <v>2.0</v>
      </c>
    </row>
    <row r="176" ht="15.75" customHeight="1">
      <c r="A176" s="1">
        <v>467.0</v>
      </c>
      <c r="B176" s="1" t="s">
        <v>637</v>
      </c>
      <c r="C176" s="2">
        <v>46234.0</v>
      </c>
      <c r="D176" s="1" t="s">
        <v>82</v>
      </c>
      <c r="E176" s="1" t="s">
        <v>75</v>
      </c>
      <c r="F176" s="1">
        <v>5.0</v>
      </c>
      <c r="G176" s="1">
        <v>6.0</v>
      </c>
      <c r="H176" s="1">
        <v>10.0</v>
      </c>
      <c r="I176" s="1">
        <v>16.0</v>
      </c>
      <c r="J176" s="1">
        <v>3.0</v>
      </c>
      <c r="K176" s="1">
        <v>4.0</v>
      </c>
      <c r="L176" s="1">
        <v>-1.0</v>
      </c>
    </row>
    <row r="177" ht="15.75" customHeight="1">
      <c r="A177" s="1">
        <v>468.0</v>
      </c>
      <c r="B177" s="1" t="s">
        <v>637</v>
      </c>
      <c r="C177" s="2">
        <v>46234.0</v>
      </c>
      <c r="D177" s="1" t="s">
        <v>577</v>
      </c>
      <c r="E177" s="1" t="s">
        <v>578</v>
      </c>
      <c r="F177" s="1">
        <v>6.0</v>
      </c>
      <c r="G177" s="1">
        <v>4.0</v>
      </c>
      <c r="H177" s="1">
        <v>10.0</v>
      </c>
      <c r="I177" s="1">
        <v>14.0</v>
      </c>
      <c r="J177" s="1">
        <v>3.0</v>
      </c>
      <c r="K177" s="1">
        <v>4.0</v>
      </c>
      <c r="L177" s="1">
        <v>-3.0</v>
      </c>
    </row>
    <row r="178" ht="15.75" customHeight="1">
      <c r="A178" s="1">
        <v>469.0</v>
      </c>
      <c r="B178" s="1" t="s">
        <v>637</v>
      </c>
      <c r="C178" s="2">
        <v>46234.0</v>
      </c>
      <c r="D178" s="1" t="s">
        <v>644</v>
      </c>
      <c r="E178" s="1" t="s">
        <v>645</v>
      </c>
      <c r="F178" s="1">
        <v>7.0</v>
      </c>
      <c r="G178" s="1">
        <v>2.0</v>
      </c>
      <c r="H178" s="1">
        <v>10.0</v>
      </c>
      <c r="I178" s="1">
        <v>12.0</v>
      </c>
      <c r="J178" s="1">
        <v>2.0</v>
      </c>
      <c r="K178" s="1">
        <v>5.0</v>
      </c>
      <c r="L178" s="1">
        <v>-8.0</v>
      </c>
    </row>
    <row r="179" ht="15.75" customHeight="1">
      <c r="A179" s="1">
        <v>470.0</v>
      </c>
      <c r="B179" s="1" t="s">
        <v>637</v>
      </c>
      <c r="C179" s="2">
        <v>46234.0</v>
      </c>
      <c r="D179" s="1" t="s">
        <v>320</v>
      </c>
      <c r="E179" s="1" t="s">
        <v>153</v>
      </c>
      <c r="F179" s="1">
        <v>8.0</v>
      </c>
      <c r="G179" s="1">
        <v>1.0</v>
      </c>
      <c r="H179" s="1">
        <v>10.0</v>
      </c>
      <c r="I179" s="1">
        <v>11.0</v>
      </c>
      <c r="J179" s="1">
        <v>0.0</v>
      </c>
      <c r="K179" s="1">
        <v>7.0</v>
      </c>
      <c r="L179" s="1">
        <v>-11.0</v>
      </c>
    </row>
    <row r="180" ht="15.75" customHeight="1">
      <c r="A180" s="1">
        <v>274.0</v>
      </c>
      <c r="B180" s="1" t="s">
        <v>646</v>
      </c>
      <c r="C180" s="2">
        <v>46236.0</v>
      </c>
      <c r="D180" s="1" t="s">
        <v>126</v>
      </c>
      <c r="E180" s="1" t="s">
        <v>61</v>
      </c>
      <c r="F180" s="1">
        <v>8.0</v>
      </c>
      <c r="G180" s="1">
        <v>1.0</v>
      </c>
      <c r="H180" s="1">
        <v>10.0</v>
      </c>
      <c r="I180" s="1">
        <f t="shared" ref="I180:I201" si="1">SUM(G180:H180)</f>
        <v>11</v>
      </c>
      <c r="J180" s="1">
        <v>1.0</v>
      </c>
      <c r="K180" s="1">
        <v>6.0</v>
      </c>
      <c r="L180" s="1">
        <v>-11.0</v>
      </c>
    </row>
    <row r="181" ht="15.75" customHeight="1">
      <c r="A181" s="1">
        <v>275.0</v>
      </c>
      <c r="B181" s="1" t="s">
        <v>646</v>
      </c>
      <c r="C181" s="2">
        <v>46236.0</v>
      </c>
      <c r="D181" s="1" t="s">
        <v>474</v>
      </c>
      <c r="E181" s="1" t="s">
        <v>191</v>
      </c>
      <c r="F181" s="1">
        <v>5.0</v>
      </c>
      <c r="G181" s="1">
        <v>6.0</v>
      </c>
      <c r="H181" s="1">
        <v>10.0</v>
      </c>
      <c r="I181" s="1">
        <f t="shared" si="1"/>
        <v>16</v>
      </c>
      <c r="J181" s="1">
        <v>3.0</v>
      </c>
      <c r="K181" s="1">
        <v>4.0</v>
      </c>
      <c r="L181" s="1">
        <v>-3.0</v>
      </c>
    </row>
    <row r="182" ht="15.75" customHeight="1">
      <c r="A182" s="1">
        <v>276.0</v>
      </c>
      <c r="B182" s="1" t="s">
        <v>646</v>
      </c>
      <c r="C182" s="2">
        <v>46236.0</v>
      </c>
      <c r="D182" s="1" t="s">
        <v>53</v>
      </c>
      <c r="E182" s="1" t="s">
        <v>40</v>
      </c>
      <c r="F182" s="1">
        <v>6.0</v>
      </c>
      <c r="G182" s="1">
        <v>4.0</v>
      </c>
      <c r="H182" s="1">
        <v>10.0</v>
      </c>
      <c r="I182" s="1">
        <f t="shared" si="1"/>
        <v>14</v>
      </c>
      <c r="J182" s="1">
        <v>2.0</v>
      </c>
      <c r="K182" s="1">
        <v>5.0</v>
      </c>
      <c r="L182" s="1">
        <v>-5.0</v>
      </c>
    </row>
    <row r="183" ht="15.75" customHeight="1">
      <c r="A183" s="1">
        <v>277.0</v>
      </c>
      <c r="B183" s="1" t="s">
        <v>646</v>
      </c>
      <c r="C183" s="2">
        <v>46236.0</v>
      </c>
      <c r="D183" s="1" t="s">
        <v>647</v>
      </c>
      <c r="E183" s="1" t="s">
        <v>648</v>
      </c>
      <c r="F183" s="1">
        <v>7.0</v>
      </c>
      <c r="G183" s="1">
        <v>2.0</v>
      </c>
      <c r="H183" s="1">
        <v>10.0</v>
      </c>
      <c r="I183" s="1">
        <f t="shared" si="1"/>
        <v>12</v>
      </c>
      <c r="J183" s="1">
        <v>2.0</v>
      </c>
      <c r="K183" s="1">
        <v>5.0</v>
      </c>
      <c r="L183" s="1">
        <v>8.0</v>
      </c>
    </row>
    <row r="184" ht="15.75" customHeight="1">
      <c r="A184" s="1">
        <v>278.0</v>
      </c>
      <c r="B184" s="1" t="s">
        <v>646</v>
      </c>
      <c r="C184" s="2">
        <v>46236.0</v>
      </c>
      <c r="D184" s="1" t="s">
        <v>649</v>
      </c>
      <c r="E184" s="1" t="s">
        <v>650</v>
      </c>
      <c r="F184" s="1">
        <v>1.0</v>
      </c>
      <c r="G184" s="1">
        <v>25.0</v>
      </c>
      <c r="H184" s="1">
        <v>10.0</v>
      </c>
      <c r="I184" s="1">
        <f t="shared" si="1"/>
        <v>35</v>
      </c>
      <c r="J184" s="1">
        <v>6.0</v>
      </c>
      <c r="K184" s="1">
        <v>1.0</v>
      </c>
      <c r="L184" s="1">
        <v>7.0</v>
      </c>
    </row>
    <row r="185" ht="15.75" customHeight="1">
      <c r="A185" s="1">
        <v>279.0</v>
      </c>
      <c r="B185" s="1" t="s">
        <v>646</v>
      </c>
      <c r="C185" s="2">
        <v>46236.0</v>
      </c>
      <c r="D185" s="1" t="s">
        <v>456</v>
      </c>
      <c r="E185" s="1" t="s">
        <v>203</v>
      </c>
      <c r="F185" s="1">
        <v>2.0</v>
      </c>
      <c r="G185" s="1">
        <v>18.0</v>
      </c>
      <c r="H185" s="1">
        <v>10.0</v>
      </c>
      <c r="I185" s="1">
        <f t="shared" si="1"/>
        <v>28</v>
      </c>
      <c r="J185" s="1">
        <v>5.0</v>
      </c>
      <c r="K185" s="1">
        <v>2.0</v>
      </c>
      <c r="L185" s="1">
        <v>10.0</v>
      </c>
    </row>
    <row r="186" ht="15.75" customHeight="1">
      <c r="A186" s="1">
        <v>280.0</v>
      </c>
      <c r="B186" s="1" t="s">
        <v>646</v>
      </c>
      <c r="C186" s="2">
        <v>46236.0</v>
      </c>
      <c r="D186" s="1" t="s">
        <v>651</v>
      </c>
      <c r="E186" s="1" t="s">
        <v>531</v>
      </c>
      <c r="F186" s="1">
        <v>4.0</v>
      </c>
      <c r="G186" s="1">
        <v>8.0</v>
      </c>
      <c r="H186" s="1">
        <v>10.0</v>
      </c>
      <c r="I186" s="1">
        <f t="shared" si="1"/>
        <v>18</v>
      </c>
      <c r="J186" s="1">
        <v>4.0</v>
      </c>
      <c r="K186" s="1">
        <v>3.0</v>
      </c>
      <c r="L186" s="1">
        <v>4.0</v>
      </c>
    </row>
    <row r="187" ht="15.75" customHeight="1">
      <c r="A187" s="1">
        <v>281.0</v>
      </c>
      <c r="B187" s="1" t="s">
        <v>646</v>
      </c>
      <c r="C187" s="2">
        <v>46236.0</v>
      </c>
      <c r="D187" s="1" t="s">
        <v>652</v>
      </c>
      <c r="E187" s="1" t="s">
        <v>653</v>
      </c>
      <c r="F187" s="1">
        <v>3.0</v>
      </c>
      <c r="G187" s="1">
        <v>12.0</v>
      </c>
      <c r="H187" s="1">
        <v>10.0</v>
      </c>
      <c r="I187" s="1">
        <f t="shared" si="1"/>
        <v>22</v>
      </c>
      <c r="J187" s="1">
        <v>5.0</v>
      </c>
      <c r="K187" s="1">
        <v>2.0</v>
      </c>
      <c r="L187" s="1">
        <v>6.0</v>
      </c>
    </row>
    <row r="188" ht="15.75" customHeight="1">
      <c r="A188" s="1">
        <v>471.0</v>
      </c>
      <c r="B188" s="1" t="s">
        <v>654</v>
      </c>
      <c r="C188" s="2">
        <v>46237.0</v>
      </c>
      <c r="D188" s="1" t="s">
        <v>655</v>
      </c>
      <c r="E188" s="1" t="s">
        <v>546</v>
      </c>
      <c r="F188" s="1">
        <v>7.0</v>
      </c>
      <c r="G188" s="1">
        <v>2.0</v>
      </c>
      <c r="H188" s="1">
        <v>10.0</v>
      </c>
      <c r="I188" s="1">
        <f t="shared" si="1"/>
        <v>12</v>
      </c>
      <c r="J188" s="1">
        <v>3.0</v>
      </c>
      <c r="K188" s="1">
        <v>5.0</v>
      </c>
      <c r="L188" s="1">
        <v>-7.0</v>
      </c>
    </row>
    <row r="189" ht="15.75" customHeight="1">
      <c r="A189" s="1">
        <v>472.0</v>
      </c>
      <c r="B189" s="1" t="s">
        <v>654</v>
      </c>
      <c r="C189" s="2">
        <v>46237.0</v>
      </c>
      <c r="D189" s="1" t="s">
        <v>584</v>
      </c>
      <c r="E189" s="1" t="s">
        <v>286</v>
      </c>
      <c r="F189" s="1">
        <v>3.0</v>
      </c>
      <c r="G189" s="1">
        <v>12.0</v>
      </c>
      <c r="H189" s="1">
        <v>10.0</v>
      </c>
      <c r="I189" s="1">
        <f t="shared" si="1"/>
        <v>22</v>
      </c>
      <c r="J189" s="1">
        <v>4.0</v>
      </c>
      <c r="K189" s="1">
        <v>4.0</v>
      </c>
      <c r="L189" s="1">
        <v>6.0</v>
      </c>
    </row>
    <row r="190" ht="15.75" customHeight="1">
      <c r="A190" s="1">
        <v>473.0</v>
      </c>
      <c r="B190" s="1" t="s">
        <v>654</v>
      </c>
      <c r="C190" s="2">
        <v>46237.0</v>
      </c>
      <c r="D190" s="1" t="s">
        <v>587</v>
      </c>
      <c r="E190" s="1" t="s">
        <v>319</v>
      </c>
      <c r="F190" s="1">
        <v>4.0</v>
      </c>
      <c r="G190" s="1">
        <v>8.0</v>
      </c>
      <c r="H190" s="1">
        <v>10.0</v>
      </c>
      <c r="I190" s="1">
        <f t="shared" si="1"/>
        <v>18</v>
      </c>
      <c r="J190" s="1">
        <v>4.0</v>
      </c>
      <c r="K190" s="1">
        <v>4.0</v>
      </c>
      <c r="L190" s="1">
        <v>-1.0</v>
      </c>
    </row>
    <row r="191" ht="15.75" customHeight="1">
      <c r="A191" s="1">
        <v>474.0</v>
      </c>
      <c r="B191" s="1" t="s">
        <v>654</v>
      </c>
      <c r="C191" s="2">
        <v>46237.0</v>
      </c>
      <c r="D191" s="1" t="s">
        <v>593</v>
      </c>
      <c r="E191" s="1" t="s">
        <v>363</v>
      </c>
      <c r="F191" s="1">
        <v>1.0</v>
      </c>
      <c r="G191" s="1">
        <v>25.0</v>
      </c>
      <c r="H191" s="1">
        <v>10.0</v>
      </c>
      <c r="I191" s="1">
        <f t="shared" si="1"/>
        <v>35</v>
      </c>
      <c r="J191" s="1">
        <v>5.0</v>
      </c>
      <c r="K191" s="1">
        <v>3.0</v>
      </c>
      <c r="L191" s="1">
        <v>5.0</v>
      </c>
    </row>
    <row r="192" ht="15.75" customHeight="1">
      <c r="A192" s="1">
        <v>475.0</v>
      </c>
      <c r="B192" s="1" t="s">
        <v>654</v>
      </c>
      <c r="C192" s="2">
        <v>46237.0</v>
      </c>
      <c r="D192" s="1" t="s">
        <v>29</v>
      </c>
      <c r="E192" s="4" t="s">
        <v>25</v>
      </c>
      <c r="F192" s="1">
        <v>2.0</v>
      </c>
      <c r="G192" s="1">
        <v>18.0</v>
      </c>
      <c r="H192" s="1">
        <v>10.0</v>
      </c>
      <c r="I192" s="1">
        <f t="shared" si="1"/>
        <v>28</v>
      </c>
      <c r="J192" s="1">
        <v>5.0</v>
      </c>
      <c r="K192" s="1">
        <v>3.0</v>
      </c>
      <c r="L192" s="1">
        <v>3.0</v>
      </c>
    </row>
    <row r="193" ht="15.75" customHeight="1">
      <c r="A193" s="1">
        <v>476.0</v>
      </c>
      <c r="B193" s="1" t="s">
        <v>654</v>
      </c>
      <c r="C193" s="2">
        <v>46237.0</v>
      </c>
      <c r="D193" s="1" t="s">
        <v>53</v>
      </c>
      <c r="E193" s="1" t="s">
        <v>40</v>
      </c>
      <c r="F193" s="1">
        <v>5.0</v>
      </c>
      <c r="G193" s="1">
        <v>6.0</v>
      </c>
      <c r="H193" s="1">
        <v>10.0</v>
      </c>
      <c r="I193" s="1">
        <f t="shared" si="1"/>
        <v>16</v>
      </c>
      <c r="J193" s="1">
        <v>4.0</v>
      </c>
      <c r="K193" s="1">
        <v>4.0</v>
      </c>
      <c r="L193" s="1">
        <v>-2.0</v>
      </c>
    </row>
    <row r="194" ht="15.75" customHeight="1">
      <c r="A194" s="1">
        <v>477.0</v>
      </c>
      <c r="B194" s="1" t="s">
        <v>654</v>
      </c>
      <c r="C194" s="2">
        <v>46237.0</v>
      </c>
      <c r="D194" s="1" t="s">
        <v>656</v>
      </c>
      <c r="E194" s="1" t="s">
        <v>551</v>
      </c>
      <c r="F194" s="1">
        <v>6.0</v>
      </c>
      <c r="G194" s="1">
        <v>4.0</v>
      </c>
      <c r="H194" s="1">
        <v>10.0</v>
      </c>
      <c r="I194" s="1">
        <f t="shared" si="1"/>
        <v>14</v>
      </c>
      <c r="J194" s="1">
        <v>3.0</v>
      </c>
      <c r="K194" s="1">
        <v>5.0</v>
      </c>
      <c r="L194" s="1">
        <v>-4.0</v>
      </c>
    </row>
    <row r="195" ht="15.75" customHeight="1">
      <c r="A195" s="1">
        <v>478.0</v>
      </c>
      <c r="B195" s="1" t="s">
        <v>657</v>
      </c>
      <c r="C195" s="2">
        <v>46238.0</v>
      </c>
      <c r="D195" s="1" t="s">
        <v>456</v>
      </c>
      <c r="E195" s="1" t="s">
        <v>203</v>
      </c>
      <c r="F195" s="1">
        <v>3.0</v>
      </c>
      <c r="G195" s="1">
        <v>12.0</v>
      </c>
      <c r="H195" s="1">
        <v>10.0</v>
      </c>
      <c r="I195" s="1">
        <f t="shared" si="1"/>
        <v>22</v>
      </c>
      <c r="J195" s="1">
        <v>4.0</v>
      </c>
      <c r="K195" s="1">
        <v>1.0</v>
      </c>
      <c r="L195" s="1">
        <v>6.0</v>
      </c>
    </row>
    <row r="196" ht="15.75" customHeight="1">
      <c r="A196" s="1">
        <v>479.0</v>
      </c>
      <c r="B196" s="1" t="s">
        <v>657</v>
      </c>
      <c r="C196" s="2">
        <v>46238.0</v>
      </c>
      <c r="D196" s="1" t="s">
        <v>632</v>
      </c>
      <c r="E196" s="1" t="s">
        <v>466</v>
      </c>
      <c r="F196" s="1">
        <v>5.0</v>
      </c>
      <c r="G196" s="1">
        <v>6.0</v>
      </c>
      <c r="H196" s="1">
        <v>10.0</v>
      </c>
      <c r="I196" s="1">
        <f t="shared" si="1"/>
        <v>16</v>
      </c>
      <c r="J196" s="1">
        <v>1.0</v>
      </c>
      <c r="K196" s="1">
        <v>4.0</v>
      </c>
      <c r="L196" s="1">
        <v>-8.0</v>
      </c>
    </row>
    <row r="197" ht="15.75" customHeight="1">
      <c r="A197" s="1">
        <v>480.0</v>
      </c>
      <c r="B197" s="1" t="s">
        <v>657</v>
      </c>
      <c r="C197" s="2">
        <v>46238.0</v>
      </c>
      <c r="D197" s="1" t="s">
        <v>29</v>
      </c>
      <c r="E197" s="4" t="s">
        <v>25</v>
      </c>
      <c r="F197" s="1">
        <v>2.0</v>
      </c>
      <c r="G197" s="1">
        <v>18.0</v>
      </c>
      <c r="H197" s="1">
        <v>10.0</v>
      </c>
      <c r="I197" s="1">
        <f t="shared" si="1"/>
        <v>28</v>
      </c>
      <c r="J197" s="1">
        <v>4.0</v>
      </c>
      <c r="K197" s="1">
        <v>1.0</v>
      </c>
      <c r="L197" s="1">
        <v>6.0</v>
      </c>
    </row>
    <row r="198" ht="15.75" customHeight="1">
      <c r="A198" s="1">
        <v>481.0</v>
      </c>
      <c r="B198" s="1" t="s">
        <v>657</v>
      </c>
      <c r="C198" s="2">
        <v>46238.0</v>
      </c>
      <c r="D198" s="1" t="s">
        <v>659</v>
      </c>
      <c r="E198" s="1" t="s">
        <v>556</v>
      </c>
      <c r="F198" s="1">
        <v>6.0</v>
      </c>
      <c r="G198" s="1">
        <v>4.0</v>
      </c>
      <c r="H198" s="1">
        <v>10.0</v>
      </c>
      <c r="I198" s="1">
        <f t="shared" si="1"/>
        <v>14</v>
      </c>
      <c r="J198" s="1">
        <v>0.0</v>
      </c>
      <c r="K198" s="1">
        <v>5.0</v>
      </c>
      <c r="L198" s="1">
        <v>-21.0</v>
      </c>
    </row>
    <row r="199" ht="15.75" customHeight="1">
      <c r="A199" s="1">
        <v>482.0</v>
      </c>
      <c r="B199" s="1" t="s">
        <v>657</v>
      </c>
      <c r="C199" s="2">
        <v>46238.0</v>
      </c>
      <c r="D199" s="1" t="s">
        <v>589</v>
      </c>
      <c r="E199" s="1" t="s">
        <v>358</v>
      </c>
      <c r="F199" s="1">
        <v>1.0</v>
      </c>
      <c r="G199" s="1">
        <v>25.0</v>
      </c>
      <c r="H199" s="1">
        <v>10.0</v>
      </c>
      <c r="I199" s="1">
        <f t="shared" si="1"/>
        <v>35</v>
      </c>
      <c r="J199" s="1">
        <v>4.0</v>
      </c>
      <c r="K199" s="1">
        <v>1.0</v>
      </c>
      <c r="L199" s="1">
        <v>18.0</v>
      </c>
    </row>
    <row r="200" ht="15.75" customHeight="1">
      <c r="A200" s="1">
        <v>483.0</v>
      </c>
      <c r="B200" s="1" t="s">
        <v>657</v>
      </c>
      <c r="C200" s="2">
        <v>46238.0</v>
      </c>
      <c r="D200" s="1" t="s">
        <v>107</v>
      </c>
      <c r="E200" s="1" t="s">
        <v>45</v>
      </c>
      <c r="F200" s="1">
        <v>4.0</v>
      </c>
      <c r="G200" s="1">
        <v>8.0</v>
      </c>
      <c r="H200" s="1">
        <v>10.0</v>
      </c>
      <c r="I200" s="1">
        <f t="shared" si="1"/>
        <v>18</v>
      </c>
      <c r="J200" s="1">
        <v>2.0</v>
      </c>
      <c r="K200" s="1">
        <v>3.0</v>
      </c>
      <c r="L200" s="1">
        <v>-1.0</v>
      </c>
    </row>
    <row r="201" ht="15.75" customHeight="1">
      <c r="A201" s="1">
        <v>284.0</v>
      </c>
      <c r="B201" s="1" t="s">
        <v>661</v>
      </c>
      <c r="C201" s="2">
        <v>46295.0</v>
      </c>
      <c r="D201" s="1" t="s">
        <v>662</v>
      </c>
      <c r="E201" s="1" t="s">
        <v>240</v>
      </c>
      <c r="F201" s="1">
        <v>1.0</v>
      </c>
      <c r="G201" s="1">
        <v>25.0</v>
      </c>
      <c r="H201" s="1">
        <v>10.0</v>
      </c>
      <c r="I201" s="1">
        <f t="shared" si="1"/>
        <v>35</v>
      </c>
      <c r="J201" s="1">
        <v>6.0</v>
      </c>
      <c r="K201" s="1">
        <v>1.0</v>
      </c>
      <c r="L201" s="1">
        <v>6.0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202"/>
  <printOptions/>
  <pageMargins bottom="0.75" footer="0.0" header="0.0" left="0.7" right="0.7" top="0.75"/>
  <pageSetup orientation="landscape"/>
  <drawing r:id="rId1"/>
</worksheet>
</file>